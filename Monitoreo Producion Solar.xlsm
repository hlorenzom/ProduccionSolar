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73619db4635d4235/Documents/Hecto Lorenzo/Pura Energia/"/>
    </mc:Choice>
  </mc:AlternateContent>
  <xr:revisionPtr revIDLastSave="2756" documentId="8_{E5F73B1B-609B-4248-AE66-078E31E1464F}" xr6:coauthVersionLast="47" xr6:coauthVersionMax="47" xr10:uidLastSave="{918CC72F-4F8E-4058-9A72-4164CB82B372}"/>
  <bookViews>
    <workbookView xWindow="-22110" yWindow="3195" windowWidth="21600" windowHeight="11295" firstSheet="1" activeTab="1" xr2:uid="{3F905978-DCD1-42F4-B1E8-C8285D651B2F}"/>
  </bookViews>
  <sheets>
    <sheet name="Data" sheetId="3" state="veryHidden" r:id="rId1"/>
    <sheet name="Dashboard" sheetId="4" r:id="rId2"/>
    <sheet name="PivotDataChat" sheetId="5" state="veryHidden" r:id="rId3"/>
  </sheets>
  <definedNames>
    <definedName name="_xlchart.v1.0" hidden="1">PivotDataChat!$B$8:$C$8</definedName>
    <definedName name="_xlchart.v1.1" hidden="1">PivotDataChat!$B$9:$C$9</definedName>
    <definedName name="_xlcn.WorksheetConnection_MonitoreoProducionSolar.xlsmCostPerKwh1" hidden="1">CostPerKwh[]</definedName>
    <definedName name="Slicer_Ciclo">#N/A</definedName>
    <definedName name="Slicer_Day_Name">#N/A</definedName>
    <definedName name="Slicer_Month_Name">#N/A</definedName>
    <definedName name="Slicer_Week_of_Year">#N/A</definedName>
    <definedName name="Slicer_Year">#N/A</definedName>
  </definedNames>
  <calcPr calcId="191029"/>
  <pivotCaches>
    <pivotCache cacheId="189" r:id="rId4"/>
    <pivotCache cacheId="192" r:id="rId5"/>
    <pivotCache cacheId="195" r:id="rId6"/>
    <pivotCache cacheId="198" r:id="rId7"/>
    <pivotCache cacheId="201" r:id="rId8"/>
    <pivotCache cacheId="204" r:id="rId9"/>
  </pivotCaches>
  <extLst>
    <ext xmlns:x14="http://schemas.microsoft.com/office/spreadsheetml/2009/9/main" uri="{876F7934-8845-4945-9796-88D515C7AA90}">
      <x14:pivotCaches>
        <pivotCache cacheId="6" r:id="rId10"/>
      </x14:pivotCaches>
    </ex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nergiaSolar_c75ca5e2-f5f9-43dc-808f-41068d0b3103" name="EnergiaSolar" connection="Query - EnergiaSolar"/>
          <x15:modelTable id="CostPerKwh" name="CostPerKwh" connection="WorksheetConnection_Monitoreo Producion Solar.xlsm!CostPerKwh"/>
        </x15:modelTables>
        <x15:extLst>
          <ext xmlns:x16="http://schemas.microsoft.com/office/spreadsheetml/2014/11/main" uri="{9835A34E-60A6-4A7C-AAB8-D5F71C897F49}">
            <x16:modelTimeGroupings>
              <x16:modelTimeGrouping tableName="EnergiaSolar" columnName="Dia" columnId="Dia">
                <x16:calculatedTimeColumn columnName="Dia (Month Index)" columnId="Dia (Month Index)" contentType="monthsindex" isSelected="1"/>
                <x16:calculatedTimeColumn columnName="Dia (Month)" columnId="Di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58" i="3" l="1"/>
  <c r="E659" i="3"/>
  <c r="G659" i="3" s="1" a="1"/>
  <c r="G659" i="3" s="1"/>
  <c r="E660" i="3"/>
  <c r="F658" i="3"/>
  <c r="F659" i="3"/>
  <c r="F660" i="3"/>
  <c r="G658" i="3" a="1"/>
  <c r="G658" i="3" s="1"/>
  <c r="G660" i="3" a="1"/>
  <c r="G660" i="3" s="1"/>
  <c r="E656" i="3"/>
  <c r="E657" i="3"/>
  <c r="G657" i="3" s="1" a="1"/>
  <c r="G657" i="3" s="1"/>
  <c r="F656" i="3"/>
  <c r="F657" i="3"/>
  <c r="G656" i="3" a="1"/>
  <c r="G656" i="3" s="1"/>
  <c r="E649" i="3"/>
  <c r="E650" i="3"/>
  <c r="G650" i="3" s="1" a="1"/>
  <c r="G650" i="3" s="1"/>
  <c r="E651" i="3"/>
  <c r="G651" i="3" s="1" a="1"/>
  <c r="G651" i="3" s="1"/>
  <c r="E652" i="3"/>
  <c r="E653" i="3"/>
  <c r="E654" i="3"/>
  <c r="G654" i="3" s="1" a="1"/>
  <c r="G654" i="3" s="1"/>
  <c r="E655" i="3"/>
  <c r="F649" i="3"/>
  <c r="F650" i="3"/>
  <c r="F651" i="3"/>
  <c r="F652" i="3"/>
  <c r="F653" i="3"/>
  <c r="F654" i="3"/>
  <c r="F655" i="3"/>
  <c r="G649" i="3" a="1"/>
  <c r="G649" i="3" s="1"/>
  <c r="G652" i="3" a="1"/>
  <c r="G652" i="3" s="1"/>
  <c r="G653" i="3" a="1"/>
  <c r="G653" i="3" s="1"/>
  <c r="G655" i="3" a="1"/>
  <c r="G655" i="3" s="1"/>
  <c r="E648" i="3"/>
  <c r="G648" i="3" s="1" a="1"/>
  <c r="G648" i="3" s="1"/>
  <c r="F648" i="3"/>
  <c r="E647" i="3"/>
  <c r="G647" i="3" s="1" a="1"/>
  <c r="G647" i="3" s="1"/>
  <c r="F647" i="3"/>
  <c r="E646" i="3"/>
  <c r="G646" i="3" s="1" a="1"/>
  <c r="G646" i="3" s="1"/>
  <c r="F646" i="3"/>
  <c r="E645" i="3"/>
  <c r="G645" i="3" s="1" a="1"/>
  <c r="G645" i="3" s="1"/>
  <c r="F645" i="3"/>
  <c r="E644" i="3"/>
  <c r="G644" i="3" s="1" a="1"/>
  <c r="G644" i="3" s="1"/>
  <c r="F644" i="3"/>
  <c r="E643" i="3"/>
  <c r="G643" i="3" s="1" a="1"/>
  <c r="G643" i="3" s="1"/>
  <c r="F643" i="3"/>
  <c r="E642" i="3"/>
  <c r="G642" i="3" s="1" a="1"/>
  <c r="G642" i="3" s="1"/>
  <c r="F642" i="3"/>
  <c r="E641" i="3"/>
  <c r="G641" i="3" s="1" a="1"/>
  <c r="G641" i="3" s="1"/>
  <c r="F641" i="3"/>
  <c r="E640" i="3"/>
  <c r="G640" i="3" s="1" a="1"/>
  <c r="G640" i="3" s="1"/>
  <c r="F640" i="3"/>
  <c r="E639" i="3"/>
  <c r="G639" i="3" s="1" a="1"/>
  <c r="G639" i="3" s="1"/>
  <c r="F639" i="3"/>
  <c r="E638" i="3"/>
  <c r="G638" i="3" s="1" a="1"/>
  <c r="G638" i="3" s="1"/>
  <c r="F638" i="3"/>
  <c r="E637" i="3"/>
  <c r="G637" i="3" s="1" a="1"/>
  <c r="G637" i="3" s="1"/>
  <c r="F637" i="3"/>
  <c r="E636" i="3"/>
  <c r="G636" i="3" s="1" a="1"/>
  <c r="G636" i="3" s="1"/>
  <c r="F636" i="3"/>
  <c r="E635" i="3"/>
  <c r="G635" i="3" s="1" a="1"/>
  <c r="G635" i="3" s="1"/>
  <c r="F635" i="3"/>
  <c r="E634" i="3"/>
  <c r="G634" i="3" s="1" a="1"/>
  <c r="G634" i="3" s="1"/>
  <c r="F634" i="3"/>
  <c r="E633" i="3"/>
  <c r="G633" i="3" s="1" a="1"/>
  <c r="G633" i="3" s="1"/>
  <c r="F633" i="3"/>
  <c r="E632" i="3"/>
  <c r="G632" i="3" s="1" a="1"/>
  <c r="G632" i="3" s="1"/>
  <c r="F632" i="3"/>
  <c r="E631" i="3"/>
  <c r="G631" i="3" s="1" a="1"/>
  <c r="G631" i="3" s="1"/>
  <c r="F631" i="3"/>
  <c r="E630" i="3"/>
  <c r="G630" i="3" s="1" a="1"/>
  <c r="G630" i="3" s="1"/>
  <c r="F630" i="3"/>
  <c r="E620" i="3"/>
  <c r="G620" i="3" s="1" a="1"/>
  <c r="G620" i="3" s="1"/>
  <c r="E621" i="3"/>
  <c r="G621" i="3" s="1" a="1"/>
  <c r="G621" i="3" s="1"/>
  <c r="E622" i="3"/>
  <c r="G622" i="3" s="1" a="1"/>
  <c r="G622" i="3" s="1"/>
  <c r="E623" i="3"/>
  <c r="G623" i="3" s="1" a="1"/>
  <c r="G623" i="3" s="1"/>
  <c r="E624" i="3"/>
  <c r="G624" i="3" s="1" a="1"/>
  <c r="G624" i="3" s="1"/>
  <c r="E625" i="3"/>
  <c r="G625" i="3" s="1" a="1"/>
  <c r="G625" i="3" s="1"/>
  <c r="E626" i="3"/>
  <c r="G626" i="3" s="1" a="1"/>
  <c r="G626" i="3" s="1"/>
  <c r="E627" i="3"/>
  <c r="G627" i="3" s="1" a="1"/>
  <c r="G627" i="3" s="1"/>
  <c r="E628" i="3"/>
  <c r="G628" i="3" s="1" a="1"/>
  <c r="G628" i="3" s="1"/>
  <c r="E629" i="3"/>
  <c r="G629" i="3" s="1" a="1"/>
  <c r="G629" i="3" s="1"/>
  <c r="F620" i="3"/>
  <c r="F621" i="3"/>
  <c r="F622" i="3"/>
  <c r="F623" i="3"/>
  <c r="F624" i="3"/>
  <c r="F625" i="3"/>
  <c r="F626" i="3"/>
  <c r="F627" i="3"/>
  <c r="F628" i="3"/>
  <c r="F629" i="3"/>
  <c r="E619" i="3"/>
  <c r="G619" i="3" s="1" a="1"/>
  <c r="G619" i="3" s="1"/>
  <c r="F619" i="3"/>
  <c r="C3" i="4"/>
  <c r="W5" i="4" a="1"/>
  <c r="W5" i="4" s="1"/>
  <c r="Q5" i="4" a="1"/>
  <c r="Q5" i="4" s="1"/>
  <c r="E598" i="3"/>
  <c r="G598" i="3" s="1" a="1"/>
  <c r="G598" i="3" s="1"/>
  <c r="D19" i="5"/>
  <c r="E25" i="5"/>
  <c r="E9" i="5"/>
  <c r="F9" i="5"/>
  <c r="J32" i="4" l="1"/>
  <c r="E26" i="5"/>
  <c r="H23" i="4"/>
  <c r="J28" i="4"/>
  <c r="H28" i="4"/>
  <c r="J24" i="4"/>
  <c r="H24" i="4"/>
  <c r="A7" i="5"/>
  <c r="E250" i="3"/>
  <c r="G250" i="3" s="1" a="1"/>
  <c r="G250" i="3" s="1"/>
  <c r="E251" i="3"/>
  <c r="G251" i="3" s="1" a="1"/>
  <c r="G251" i="3" s="1"/>
  <c r="E252" i="3"/>
  <c r="G252" i="3" s="1" a="1"/>
  <c r="G252" i="3" s="1"/>
  <c r="E253" i="3"/>
  <c r="G253" i="3" s="1" a="1"/>
  <c r="G253" i="3" s="1"/>
  <c r="F250" i="3"/>
  <c r="F251" i="3"/>
  <c r="F252" i="3"/>
  <c r="F253" i="3"/>
  <c r="E243" i="3"/>
  <c r="G243" i="3" s="1" a="1"/>
  <c r="G243" i="3" s="1"/>
  <c r="E244" i="3"/>
  <c r="G244" i="3" s="1" a="1"/>
  <c r="G244" i="3" s="1"/>
  <c r="E245" i="3"/>
  <c r="G245" i="3" s="1" a="1"/>
  <c r="G245" i="3" s="1"/>
  <c r="E246" i="3"/>
  <c r="G246" i="3" s="1" a="1"/>
  <c r="G246" i="3" s="1"/>
  <c r="E247" i="3"/>
  <c r="G247" i="3" s="1" a="1"/>
  <c r="G247" i="3" s="1"/>
  <c r="E248" i="3"/>
  <c r="G248" i="3" s="1" a="1"/>
  <c r="G248" i="3" s="1"/>
  <c r="E249" i="3"/>
  <c r="G249" i="3" s="1" a="1"/>
  <c r="G249" i="3" s="1"/>
  <c r="F243" i="3"/>
  <c r="F244" i="3"/>
  <c r="F245" i="3"/>
  <c r="F246" i="3"/>
  <c r="F247" i="3"/>
  <c r="F248" i="3"/>
  <c r="F249" i="3"/>
  <c r="E240" i="3"/>
  <c r="G240" i="3" s="1" a="1"/>
  <c r="G240" i="3" s="1"/>
  <c r="E241" i="3"/>
  <c r="G241" i="3" s="1" a="1"/>
  <c r="G241" i="3" s="1"/>
  <c r="E242" i="3"/>
  <c r="G242" i="3" s="1" a="1"/>
  <c r="G242" i="3" s="1"/>
  <c r="F240" i="3"/>
  <c r="F241" i="3"/>
  <c r="F242" i="3"/>
  <c r="E213" i="3"/>
  <c r="G213" i="3" s="1" a="1"/>
  <c r="G213" i="3" s="1"/>
  <c r="E214" i="3"/>
  <c r="G214" i="3" s="1" a="1"/>
  <c r="G214" i="3" s="1"/>
  <c r="E215" i="3"/>
  <c r="G215" i="3" s="1" a="1"/>
  <c r="G215" i="3" s="1"/>
  <c r="E216" i="3"/>
  <c r="G216" i="3" s="1" a="1"/>
  <c r="G216" i="3" s="1"/>
  <c r="E217" i="3"/>
  <c r="G217" i="3" s="1" a="1"/>
  <c r="G217" i="3" s="1"/>
  <c r="E218" i="3"/>
  <c r="G218" i="3" s="1" a="1"/>
  <c r="G218" i="3" s="1"/>
  <c r="E219" i="3"/>
  <c r="G219" i="3" s="1" a="1"/>
  <c r="G219" i="3" s="1"/>
  <c r="E220" i="3"/>
  <c r="G220" i="3" s="1" a="1"/>
  <c r="G220" i="3" s="1"/>
  <c r="E221" i="3"/>
  <c r="G221" i="3" s="1" a="1"/>
  <c r="G221" i="3" s="1"/>
  <c r="E222" i="3"/>
  <c r="G222" i="3" s="1" a="1"/>
  <c r="G222" i="3" s="1"/>
  <c r="E223" i="3"/>
  <c r="G223" i="3" s="1" a="1"/>
  <c r="G223" i="3" s="1"/>
  <c r="E224" i="3"/>
  <c r="G224" i="3" s="1" a="1"/>
  <c r="G224" i="3" s="1"/>
  <c r="E225" i="3"/>
  <c r="G225" i="3" s="1" a="1"/>
  <c r="G225" i="3" s="1"/>
  <c r="E226" i="3"/>
  <c r="G226" i="3" s="1" a="1"/>
  <c r="G226" i="3" s="1"/>
  <c r="E227" i="3"/>
  <c r="G227" i="3" s="1" a="1"/>
  <c r="G227" i="3" s="1"/>
  <c r="E228" i="3"/>
  <c r="G228" i="3" s="1" a="1"/>
  <c r="G228" i="3" s="1"/>
  <c r="E229" i="3"/>
  <c r="G229" i="3" s="1" a="1"/>
  <c r="G229" i="3" s="1"/>
  <c r="E230" i="3"/>
  <c r="G230" i="3" s="1" a="1"/>
  <c r="G230" i="3" s="1"/>
  <c r="E231" i="3"/>
  <c r="G231" i="3" s="1" a="1"/>
  <c r="G231" i="3" s="1"/>
  <c r="E232" i="3"/>
  <c r="G232" i="3" s="1" a="1"/>
  <c r="G232" i="3" s="1"/>
  <c r="E233" i="3"/>
  <c r="G233" i="3" s="1" a="1"/>
  <c r="G233" i="3" s="1"/>
  <c r="E234" i="3"/>
  <c r="G234" i="3" s="1" a="1"/>
  <c r="G234" i="3" s="1"/>
  <c r="E235" i="3"/>
  <c r="G235" i="3" s="1" a="1"/>
  <c r="G235" i="3" s="1"/>
  <c r="E236" i="3"/>
  <c r="G236" i="3" s="1" a="1"/>
  <c r="G236" i="3" s="1"/>
  <c r="E237" i="3"/>
  <c r="G237" i="3" s="1" a="1"/>
  <c r="G237" i="3" s="1"/>
  <c r="E238" i="3"/>
  <c r="G238" i="3" s="1" a="1"/>
  <c r="G238" i="3" s="1"/>
  <c r="E239" i="3"/>
  <c r="G239" i="3" s="1" a="1"/>
  <c r="G239" i="3" s="1"/>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E190" i="3"/>
  <c r="G190" i="3" s="1" a="1"/>
  <c r="G190" i="3" s="1"/>
  <c r="E191" i="3"/>
  <c r="G191" i="3" s="1" a="1"/>
  <c r="G191" i="3" s="1"/>
  <c r="E192" i="3"/>
  <c r="G192" i="3" s="1" a="1"/>
  <c r="G192" i="3" s="1"/>
  <c r="E193" i="3"/>
  <c r="G193" i="3" s="1" a="1"/>
  <c r="G193" i="3" s="1"/>
  <c r="E194" i="3"/>
  <c r="G194" i="3" s="1" a="1"/>
  <c r="G194" i="3" s="1"/>
  <c r="E195" i="3"/>
  <c r="G195" i="3" s="1" a="1"/>
  <c r="G195" i="3" s="1"/>
  <c r="E196" i="3"/>
  <c r="G196" i="3" s="1" a="1"/>
  <c r="G196" i="3" s="1"/>
  <c r="E197" i="3"/>
  <c r="G197" i="3" s="1" a="1"/>
  <c r="G197" i="3" s="1"/>
  <c r="E198" i="3"/>
  <c r="G198" i="3" s="1" a="1"/>
  <c r="G198" i="3" s="1"/>
  <c r="E199" i="3"/>
  <c r="G199" i="3" s="1" a="1"/>
  <c r="G199" i="3" s="1"/>
  <c r="E200" i="3"/>
  <c r="G200" i="3" s="1" a="1"/>
  <c r="G200" i="3" s="1"/>
  <c r="E201" i="3"/>
  <c r="G201" i="3" s="1" a="1"/>
  <c r="G201" i="3" s="1"/>
  <c r="E202" i="3"/>
  <c r="G202" i="3" s="1" a="1"/>
  <c r="G202" i="3" s="1"/>
  <c r="E203" i="3"/>
  <c r="G203" i="3" s="1" a="1"/>
  <c r="G203" i="3" s="1"/>
  <c r="E204" i="3"/>
  <c r="G204" i="3" s="1" a="1"/>
  <c r="G204" i="3" s="1"/>
  <c r="E205" i="3"/>
  <c r="G205" i="3" s="1" a="1"/>
  <c r="G205" i="3" s="1"/>
  <c r="E206" i="3"/>
  <c r="G206" i="3" s="1" a="1"/>
  <c r="G206" i="3" s="1"/>
  <c r="E207" i="3"/>
  <c r="G207" i="3" s="1" a="1"/>
  <c r="G207" i="3" s="1"/>
  <c r="E208" i="3"/>
  <c r="G208" i="3" s="1" a="1"/>
  <c r="G208" i="3" s="1"/>
  <c r="E209" i="3"/>
  <c r="G209" i="3" s="1" a="1"/>
  <c r="G209" i="3" s="1"/>
  <c r="E210" i="3"/>
  <c r="G210" i="3" s="1" a="1"/>
  <c r="G210" i="3" s="1"/>
  <c r="E211" i="3"/>
  <c r="G211" i="3" s="1" a="1"/>
  <c r="G211" i="3" s="1"/>
  <c r="E212" i="3"/>
  <c r="G212" i="3" s="1" a="1"/>
  <c r="G212" i="3" s="1"/>
  <c r="F190" i="3"/>
  <c r="F191" i="3"/>
  <c r="F192" i="3"/>
  <c r="F193" i="3"/>
  <c r="F194" i="3"/>
  <c r="F195" i="3"/>
  <c r="F196" i="3"/>
  <c r="F197" i="3"/>
  <c r="F198" i="3"/>
  <c r="F199" i="3"/>
  <c r="F200" i="3"/>
  <c r="F201" i="3"/>
  <c r="F202" i="3"/>
  <c r="F203" i="3"/>
  <c r="F204" i="3"/>
  <c r="F205" i="3"/>
  <c r="F206" i="3"/>
  <c r="F207" i="3"/>
  <c r="F208" i="3"/>
  <c r="F209" i="3"/>
  <c r="F210" i="3"/>
  <c r="F211" i="3"/>
  <c r="F212" i="3"/>
  <c r="E174" i="3"/>
  <c r="G174" i="3" s="1" a="1"/>
  <c r="G174" i="3" s="1"/>
  <c r="E175" i="3"/>
  <c r="G175" i="3" s="1" a="1"/>
  <c r="G175" i="3" s="1"/>
  <c r="E176" i="3"/>
  <c r="G176" i="3" s="1" a="1"/>
  <c r="G176" i="3" s="1"/>
  <c r="E177" i="3"/>
  <c r="G177" i="3" s="1" a="1"/>
  <c r="G177" i="3" s="1"/>
  <c r="E178" i="3"/>
  <c r="G178" i="3" s="1" a="1"/>
  <c r="G178" i="3" s="1"/>
  <c r="E179" i="3"/>
  <c r="G179" i="3" s="1" a="1"/>
  <c r="G179" i="3" s="1"/>
  <c r="E180" i="3"/>
  <c r="G180" i="3" s="1" a="1"/>
  <c r="G180" i="3" s="1"/>
  <c r="E181" i="3"/>
  <c r="G181" i="3" s="1" a="1"/>
  <c r="G181" i="3" s="1"/>
  <c r="E182" i="3"/>
  <c r="G182" i="3" s="1" a="1"/>
  <c r="G182" i="3" s="1"/>
  <c r="E183" i="3"/>
  <c r="G183" i="3" s="1" a="1"/>
  <c r="G183" i="3" s="1"/>
  <c r="E184" i="3"/>
  <c r="G184" i="3" s="1" a="1"/>
  <c r="G184" i="3" s="1"/>
  <c r="E185" i="3"/>
  <c r="G185" i="3" s="1" a="1"/>
  <c r="G185" i="3" s="1"/>
  <c r="E186" i="3"/>
  <c r="G186" i="3" s="1" a="1"/>
  <c r="G186" i="3" s="1"/>
  <c r="E187" i="3"/>
  <c r="G187" i="3" s="1" a="1"/>
  <c r="G187" i="3" s="1"/>
  <c r="E188" i="3"/>
  <c r="G188" i="3" s="1" a="1"/>
  <c r="G188" i="3" s="1"/>
  <c r="E189" i="3"/>
  <c r="G189" i="3" s="1" a="1"/>
  <c r="G189" i="3" s="1"/>
  <c r="F174" i="3"/>
  <c r="F175" i="3"/>
  <c r="F176" i="3"/>
  <c r="F177" i="3"/>
  <c r="F178" i="3"/>
  <c r="F179" i="3"/>
  <c r="F180" i="3"/>
  <c r="F181" i="3"/>
  <c r="F182" i="3"/>
  <c r="F183" i="3"/>
  <c r="F184" i="3"/>
  <c r="F185" i="3"/>
  <c r="F186" i="3"/>
  <c r="F187" i="3"/>
  <c r="F188" i="3"/>
  <c r="F189" i="3"/>
  <c r="E21" i="3"/>
  <c r="G21" i="3" s="1" a="1"/>
  <c r="G21" i="3" s="1"/>
  <c r="E22" i="3"/>
  <c r="G22" i="3" s="1" a="1"/>
  <c r="G22" i="3" s="1"/>
  <c r="E23" i="3"/>
  <c r="G23" i="3" s="1" a="1"/>
  <c r="G23" i="3" s="1"/>
  <c r="E24" i="3"/>
  <c r="G24" i="3" s="1" a="1"/>
  <c r="G24" i="3" s="1"/>
  <c r="E25" i="3"/>
  <c r="G25" i="3" s="1" a="1"/>
  <c r="G25" i="3" s="1"/>
  <c r="E26" i="3"/>
  <c r="G26" i="3" s="1" a="1"/>
  <c r="G26" i="3" s="1"/>
  <c r="E27" i="3"/>
  <c r="G27" i="3" s="1" a="1"/>
  <c r="G27" i="3" s="1"/>
  <c r="E28" i="3"/>
  <c r="G28" i="3" s="1" a="1"/>
  <c r="G28" i="3" s="1"/>
  <c r="E29" i="3"/>
  <c r="G29" i="3" s="1" a="1"/>
  <c r="G29" i="3" s="1"/>
  <c r="E30" i="3"/>
  <c r="G30" i="3" s="1" a="1"/>
  <c r="G30" i="3" s="1"/>
  <c r="E31" i="3"/>
  <c r="G31" i="3" s="1" a="1"/>
  <c r="G31" i="3" s="1"/>
  <c r="E32" i="3"/>
  <c r="G32" i="3" s="1" a="1"/>
  <c r="G32" i="3" s="1"/>
  <c r="E33" i="3"/>
  <c r="G33" i="3" s="1" a="1"/>
  <c r="G33" i="3" s="1"/>
  <c r="E34" i="3"/>
  <c r="G34" i="3" s="1" a="1"/>
  <c r="G34" i="3" s="1"/>
  <c r="E35" i="3"/>
  <c r="G35" i="3" s="1" a="1"/>
  <c r="G35" i="3" s="1"/>
  <c r="E36" i="3"/>
  <c r="G36" i="3" s="1" a="1"/>
  <c r="G36" i="3" s="1"/>
  <c r="E37" i="3"/>
  <c r="G37" i="3" s="1" a="1"/>
  <c r="G37" i="3" s="1"/>
  <c r="E38" i="3"/>
  <c r="G38" i="3" s="1" a="1"/>
  <c r="G38" i="3" s="1"/>
  <c r="E39" i="3"/>
  <c r="G39" i="3" s="1" a="1"/>
  <c r="G39" i="3" s="1"/>
  <c r="E40" i="3"/>
  <c r="G40" i="3" s="1" a="1"/>
  <c r="G40" i="3" s="1"/>
  <c r="E41" i="3"/>
  <c r="G41" i="3" s="1" a="1"/>
  <c r="G41" i="3" s="1"/>
  <c r="E42" i="3"/>
  <c r="G42" i="3" s="1" a="1"/>
  <c r="G42" i="3" s="1"/>
  <c r="E43" i="3"/>
  <c r="G43" i="3" s="1" a="1"/>
  <c r="G43" i="3" s="1"/>
  <c r="E44" i="3"/>
  <c r="G44" i="3" s="1" a="1"/>
  <c r="G44" i="3" s="1"/>
  <c r="E45" i="3"/>
  <c r="G45" i="3" s="1" a="1"/>
  <c r="G45" i="3" s="1"/>
  <c r="E46" i="3"/>
  <c r="G46" i="3" s="1" a="1"/>
  <c r="G46" i="3" s="1"/>
  <c r="E47" i="3"/>
  <c r="G47" i="3" s="1" a="1"/>
  <c r="G47" i="3" s="1"/>
  <c r="E48" i="3"/>
  <c r="G48" i="3" s="1" a="1"/>
  <c r="G48" i="3" s="1"/>
  <c r="E49" i="3"/>
  <c r="G49" i="3" s="1" a="1"/>
  <c r="G49" i="3" s="1"/>
  <c r="E50" i="3"/>
  <c r="G50" i="3" s="1" a="1"/>
  <c r="G50" i="3" s="1"/>
  <c r="E51" i="3"/>
  <c r="G51" i="3" s="1" a="1"/>
  <c r="G51" i="3" s="1"/>
  <c r="E52" i="3"/>
  <c r="G52" i="3" s="1" a="1"/>
  <c r="G52" i="3" s="1"/>
  <c r="E53" i="3"/>
  <c r="G53" i="3" s="1" a="1"/>
  <c r="G53" i="3" s="1"/>
  <c r="E54" i="3"/>
  <c r="G54" i="3" s="1" a="1"/>
  <c r="G54" i="3" s="1"/>
  <c r="E55" i="3"/>
  <c r="G55" i="3" s="1" a="1"/>
  <c r="G55" i="3" s="1"/>
  <c r="E56" i="3"/>
  <c r="G56" i="3" s="1" a="1"/>
  <c r="G56" i="3" s="1"/>
  <c r="E57" i="3"/>
  <c r="G57" i="3" s="1" a="1"/>
  <c r="G57" i="3" s="1"/>
  <c r="E58" i="3"/>
  <c r="G58" i="3" s="1" a="1"/>
  <c r="G58" i="3" s="1"/>
  <c r="E59" i="3"/>
  <c r="G59" i="3" s="1" a="1"/>
  <c r="G59" i="3" s="1"/>
  <c r="E60" i="3"/>
  <c r="G60" i="3" s="1" a="1"/>
  <c r="G60" i="3" s="1"/>
  <c r="E61" i="3"/>
  <c r="G61" i="3" s="1" a="1"/>
  <c r="G61" i="3" s="1"/>
  <c r="E62" i="3"/>
  <c r="G62" i="3" s="1" a="1"/>
  <c r="G62" i="3" s="1"/>
  <c r="E63" i="3"/>
  <c r="G63" i="3" s="1" a="1"/>
  <c r="G63" i="3" s="1"/>
  <c r="E64" i="3"/>
  <c r="G64" i="3" s="1" a="1"/>
  <c r="G64" i="3" s="1"/>
  <c r="E65" i="3"/>
  <c r="G65" i="3" s="1" a="1"/>
  <c r="G65" i="3" s="1"/>
  <c r="E66" i="3"/>
  <c r="G66" i="3" s="1" a="1"/>
  <c r="G66" i="3" s="1"/>
  <c r="E67" i="3"/>
  <c r="G67" i="3" s="1" a="1"/>
  <c r="G67" i="3" s="1"/>
  <c r="E68" i="3"/>
  <c r="G68" i="3" s="1" a="1"/>
  <c r="G68" i="3" s="1"/>
  <c r="E69" i="3"/>
  <c r="G69" i="3" s="1" a="1"/>
  <c r="G69" i="3" s="1"/>
  <c r="E70" i="3"/>
  <c r="G70" i="3" s="1" a="1"/>
  <c r="G70" i="3" s="1"/>
  <c r="E71" i="3"/>
  <c r="G71" i="3" s="1" a="1"/>
  <c r="G71" i="3" s="1"/>
  <c r="E72" i="3"/>
  <c r="G72" i="3" s="1" a="1"/>
  <c r="G72" i="3" s="1"/>
  <c r="E73" i="3"/>
  <c r="G73" i="3" s="1" a="1"/>
  <c r="G73" i="3" s="1"/>
  <c r="E74" i="3"/>
  <c r="G74" i="3" s="1" a="1"/>
  <c r="G74" i="3" s="1"/>
  <c r="E75" i="3"/>
  <c r="G75" i="3" s="1" a="1"/>
  <c r="G75" i="3" s="1"/>
  <c r="E76" i="3"/>
  <c r="G76" i="3" s="1" a="1"/>
  <c r="G76" i="3" s="1"/>
  <c r="E77" i="3"/>
  <c r="G77" i="3" s="1" a="1"/>
  <c r="G77" i="3" s="1"/>
  <c r="E78" i="3"/>
  <c r="G78" i="3" s="1" a="1"/>
  <c r="G78" i="3" s="1"/>
  <c r="E79" i="3"/>
  <c r="G79" i="3" s="1" a="1"/>
  <c r="G79" i="3" s="1"/>
  <c r="E80" i="3"/>
  <c r="G80" i="3" s="1" a="1"/>
  <c r="G80" i="3" s="1"/>
  <c r="E81" i="3"/>
  <c r="G81" i="3" s="1" a="1"/>
  <c r="G81" i="3" s="1"/>
  <c r="E82" i="3"/>
  <c r="G82" i="3" s="1" a="1"/>
  <c r="G82" i="3" s="1"/>
  <c r="E83" i="3"/>
  <c r="G83" i="3" s="1" a="1"/>
  <c r="G83" i="3" s="1"/>
  <c r="E84" i="3"/>
  <c r="G84" i="3" s="1" a="1"/>
  <c r="G84" i="3" s="1"/>
  <c r="E85" i="3"/>
  <c r="G85" i="3" s="1" a="1"/>
  <c r="G85" i="3" s="1"/>
  <c r="E86" i="3"/>
  <c r="G86" i="3" s="1" a="1"/>
  <c r="G86" i="3" s="1"/>
  <c r="E87" i="3"/>
  <c r="G87" i="3" s="1" a="1"/>
  <c r="G87" i="3" s="1"/>
  <c r="E88" i="3"/>
  <c r="G88" i="3" s="1" a="1"/>
  <c r="G88" i="3" s="1"/>
  <c r="E89" i="3"/>
  <c r="G89" i="3" s="1" a="1"/>
  <c r="G89" i="3" s="1"/>
  <c r="E90" i="3"/>
  <c r="G90" i="3" s="1" a="1"/>
  <c r="G90" i="3" s="1"/>
  <c r="E91" i="3"/>
  <c r="G91" i="3" s="1" a="1"/>
  <c r="G91" i="3" s="1"/>
  <c r="E92" i="3"/>
  <c r="G92" i="3" s="1" a="1"/>
  <c r="G92" i="3" s="1"/>
  <c r="E93" i="3"/>
  <c r="G93" i="3" s="1" a="1"/>
  <c r="G93" i="3" s="1"/>
  <c r="E94" i="3"/>
  <c r="G94" i="3" s="1" a="1"/>
  <c r="G94" i="3" s="1"/>
  <c r="E95" i="3"/>
  <c r="G95" i="3" s="1" a="1"/>
  <c r="G95" i="3" s="1"/>
  <c r="E96" i="3"/>
  <c r="G96" i="3" s="1" a="1"/>
  <c r="G96" i="3" s="1"/>
  <c r="E97" i="3"/>
  <c r="G97" i="3" s="1" a="1"/>
  <c r="G97" i="3" s="1"/>
  <c r="E98" i="3"/>
  <c r="G98" i="3" s="1" a="1"/>
  <c r="G98" i="3" s="1"/>
  <c r="E99" i="3"/>
  <c r="G99" i="3" s="1" a="1"/>
  <c r="G99" i="3" s="1"/>
  <c r="E100" i="3"/>
  <c r="G100" i="3" s="1" a="1"/>
  <c r="G100" i="3" s="1"/>
  <c r="E101" i="3"/>
  <c r="G101" i="3" s="1" a="1"/>
  <c r="G101" i="3" s="1"/>
  <c r="E102" i="3"/>
  <c r="G102" i="3" s="1" a="1"/>
  <c r="G102" i="3" s="1"/>
  <c r="E103" i="3"/>
  <c r="G103" i="3" s="1" a="1"/>
  <c r="G103" i="3" s="1"/>
  <c r="E104" i="3"/>
  <c r="G104" i="3" s="1" a="1"/>
  <c r="G104" i="3" s="1"/>
  <c r="E105" i="3"/>
  <c r="G105" i="3" s="1" a="1"/>
  <c r="G105" i="3" s="1"/>
  <c r="E106" i="3"/>
  <c r="G106" i="3" s="1" a="1"/>
  <c r="G106" i="3" s="1"/>
  <c r="E107" i="3"/>
  <c r="G107" i="3" s="1" a="1"/>
  <c r="G107" i="3" s="1"/>
  <c r="E108" i="3"/>
  <c r="G108" i="3" s="1" a="1"/>
  <c r="G108" i="3" s="1"/>
  <c r="E109" i="3"/>
  <c r="G109" i="3" s="1" a="1"/>
  <c r="G109" i="3" s="1"/>
  <c r="E110" i="3"/>
  <c r="G110" i="3" s="1" a="1"/>
  <c r="G110" i="3" s="1"/>
  <c r="E111" i="3"/>
  <c r="G111" i="3" s="1" a="1"/>
  <c r="G111" i="3" s="1"/>
  <c r="E112" i="3"/>
  <c r="G112" i="3" s="1" a="1"/>
  <c r="G112" i="3" s="1"/>
  <c r="E113" i="3"/>
  <c r="G113" i="3" s="1" a="1"/>
  <c r="G113" i="3" s="1"/>
  <c r="E114" i="3"/>
  <c r="G114" i="3" s="1" a="1"/>
  <c r="G114" i="3" s="1"/>
  <c r="E115" i="3"/>
  <c r="G115" i="3" s="1" a="1"/>
  <c r="G115" i="3" s="1"/>
  <c r="E116" i="3"/>
  <c r="G116" i="3" s="1" a="1"/>
  <c r="G116" i="3" s="1"/>
  <c r="E117" i="3"/>
  <c r="G117" i="3" s="1" a="1"/>
  <c r="G117" i="3" s="1"/>
  <c r="E118" i="3"/>
  <c r="G118" i="3" s="1" a="1"/>
  <c r="G118" i="3" s="1"/>
  <c r="E119" i="3"/>
  <c r="G119" i="3" s="1" a="1"/>
  <c r="G119" i="3" s="1"/>
  <c r="E120" i="3"/>
  <c r="G120" i="3" s="1" a="1"/>
  <c r="G120" i="3" s="1"/>
  <c r="E121" i="3"/>
  <c r="G121" i="3" s="1" a="1"/>
  <c r="G121" i="3" s="1"/>
  <c r="E122" i="3"/>
  <c r="G122" i="3" s="1" a="1"/>
  <c r="G122" i="3" s="1"/>
  <c r="E123" i="3"/>
  <c r="G123" i="3" s="1" a="1"/>
  <c r="G123" i="3" s="1"/>
  <c r="E124" i="3"/>
  <c r="G124" i="3" s="1" a="1"/>
  <c r="G124" i="3" s="1"/>
  <c r="E125" i="3"/>
  <c r="G125" i="3" s="1" a="1"/>
  <c r="G125" i="3" s="1"/>
  <c r="E126" i="3"/>
  <c r="G126" i="3" s="1" a="1"/>
  <c r="G126" i="3" s="1"/>
  <c r="E127" i="3"/>
  <c r="G127" i="3" s="1" a="1"/>
  <c r="G127" i="3" s="1"/>
  <c r="E128" i="3"/>
  <c r="G128" i="3" s="1" a="1"/>
  <c r="G128" i="3" s="1"/>
  <c r="E129" i="3"/>
  <c r="G129" i="3" s="1" a="1"/>
  <c r="G129" i="3" s="1"/>
  <c r="E130" i="3"/>
  <c r="G130" i="3" s="1" a="1"/>
  <c r="G130" i="3" s="1"/>
  <c r="E131" i="3"/>
  <c r="G131" i="3" s="1" a="1"/>
  <c r="G131" i="3" s="1"/>
  <c r="E132" i="3"/>
  <c r="G132" i="3" s="1" a="1"/>
  <c r="G132" i="3" s="1"/>
  <c r="E133" i="3"/>
  <c r="G133" i="3" s="1" a="1"/>
  <c r="G133" i="3" s="1"/>
  <c r="E134" i="3"/>
  <c r="G134" i="3" s="1" a="1"/>
  <c r="G134" i="3" s="1"/>
  <c r="E135" i="3"/>
  <c r="G135" i="3" s="1" a="1"/>
  <c r="G135" i="3" s="1"/>
  <c r="E136" i="3"/>
  <c r="G136" i="3" s="1" a="1"/>
  <c r="G136" i="3" s="1"/>
  <c r="E137" i="3"/>
  <c r="G137" i="3" s="1" a="1"/>
  <c r="G137" i="3" s="1"/>
  <c r="E138" i="3"/>
  <c r="G138" i="3" s="1" a="1"/>
  <c r="G138" i="3" s="1"/>
  <c r="E139" i="3"/>
  <c r="G139" i="3" s="1" a="1"/>
  <c r="G139" i="3" s="1"/>
  <c r="E140" i="3"/>
  <c r="G140" i="3" s="1" a="1"/>
  <c r="G140" i="3" s="1"/>
  <c r="E141" i="3"/>
  <c r="G141" i="3" s="1" a="1"/>
  <c r="G141" i="3" s="1"/>
  <c r="E142" i="3"/>
  <c r="G142" i="3" s="1" a="1"/>
  <c r="G142" i="3" s="1"/>
  <c r="E143" i="3"/>
  <c r="G143" i="3" s="1" a="1"/>
  <c r="G143" i="3" s="1"/>
  <c r="E144" i="3"/>
  <c r="G144" i="3" s="1" a="1"/>
  <c r="G144" i="3" s="1"/>
  <c r="E145" i="3"/>
  <c r="G145" i="3" s="1" a="1"/>
  <c r="G145" i="3" s="1"/>
  <c r="E146" i="3"/>
  <c r="G146" i="3" s="1" a="1"/>
  <c r="G146" i="3" s="1"/>
  <c r="E147" i="3"/>
  <c r="G147" i="3" s="1" a="1"/>
  <c r="G147" i="3" s="1"/>
  <c r="E148" i="3"/>
  <c r="G148" i="3" s="1" a="1"/>
  <c r="G148" i="3" s="1"/>
  <c r="E149" i="3"/>
  <c r="G149" i="3" s="1" a="1"/>
  <c r="G149" i="3" s="1"/>
  <c r="E150" i="3"/>
  <c r="G150" i="3" s="1" a="1"/>
  <c r="G150" i="3" s="1"/>
  <c r="E151" i="3"/>
  <c r="G151" i="3" s="1" a="1"/>
  <c r="G151" i="3" s="1"/>
  <c r="E152" i="3"/>
  <c r="G152" i="3" s="1" a="1"/>
  <c r="G152" i="3" s="1"/>
  <c r="E153" i="3"/>
  <c r="G153" i="3" s="1" a="1"/>
  <c r="G153" i="3" s="1"/>
  <c r="E154" i="3"/>
  <c r="G154" i="3" s="1" a="1"/>
  <c r="G154" i="3" s="1"/>
  <c r="E155" i="3"/>
  <c r="G155" i="3" s="1" a="1"/>
  <c r="G155" i="3" s="1"/>
  <c r="E156" i="3"/>
  <c r="G156" i="3" s="1" a="1"/>
  <c r="G156" i="3" s="1"/>
  <c r="E157" i="3"/>
  <c r="G157" i="3" s="1" a="1"/>
  <c r="G157" i="3" s="1"/>
  <c r="E158" i="3"/>
  <c r="G158" i="3" s="1" a="1"/>
  <c r="G158" i="3" s="1"/>
  <c r="E159" i="3"/>
  <c r="G159" i="3" s="1" a="1"/>
  <c r="G159" i="3" s="1"/>
  <c r="E160" i="3"/>
  <c r="G160" i="3" s="1" a="1"/>
  <c r="G160" i="3" s="1"/>
  <c r="E161" i="3"/>
  <c r="G161" i="3" s="1" a="1"/>
  <c r="G161" i="3" s="1"/>
  <c r="E162" i="3"/>
  <c r="G162" i="3" s="1" a="1"/>
  <c r="G162" i="3" s="1"/>
  <c r="E163" i="3"/>
  <c r="G163" i="3" s="1" a="1"/>
  <c r="G163" i="3" s="1"/>
  <c r="E164" i="3"/>
  <c r="G164" i="3" s="1" a="1"/>
  <c r="G164" i="3" s="1"/>
  <c r="E165" i="3"/>
  <c r="G165" i="3" s="1" a="1"/>
  <c r="G165" i="3" s="1"/>
  <c r="E166" i="3"/>
  <c r="G166" i="3" s="1" a="1"/>
  <c r="G166" i="3" s="1"/>
  <c r="E167" i="3"/>
  <c r="G167" i="3" s="1" a="1"/>
  <c r="G167" i="3" s="1"/>
  <c r="E168" i="3"/>
  <c r="G168" i="3" s="1" a="1"/>
  <c r="G168" i="3" s="1"/>
  <c r="E169" i="3"/>
  <c r="G169" i="3" s="1" a="1"/>
  <c r="G169" i="3" s="1"/>
  <c r="E170" i="3"/>
  <c r="G170" i="3" s="1" a="1"/>
  <c r="G170" i="3" s="1"/>
  <c r="E171" i="3"/>
  <c r="G171" i="3" s="1" a="1"/>
  <c r="G171" i="3" s="1"/>
  <c r="E172" i="3"/>
  <c r="G172" i="3" s="1" a="1"/>
  <c r="G172" i="3" s="1"/>
  <c r="E173" i="3"/>
  <c r="G173" i="3" s="1" a="1"/>
  <c r="G173" i="3" s="1"/>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E3" i="3"/>
  <c r="G3" i="3" s="1" a="1"/>
  <c r="G3" i="3" s="1"/>
  <c r="E4" i="3"/>
  <c r="G4" i="3" s="1" a="1"/>
  <c r="G4" i="3" s="1"/>
  <c r="E5" i="3"/>
  <c r="G5" i="3" s="1" a="1"/>
  <c r="G5" i="3" s="1"/>
  <c r="E6" i="3"/>
  <c r="G6" i="3" s="1" a="1"/>
  <c r="G6" i="3" s="1"/>
  <c r="E7" i="3"/>
  <c r="G7" i="3" s="1" a="1"/>
  <c r="G7" i="3" s="1"/>
  <c r="E8" i="3"/>
  <c r="G8" i="3" s="1" a="1"/>
  <c r="G8" i="3" s="1"/>
  <c r="E9" i="3"/>
  <c r="G9" i="3" s="1" a="1"/>
  <c r="G9" i="3" s="1"/>
  <c r="E10" i="3"/>
  <c r="G10" i="3" s="1" a="1"/>
  <c r="G10" i="3" s="1"/>
  <c r="E11" i="3"/>
  <c r="G11" i="3" s="1" a="1"/>
  <c r="G11" i="3" s="1"/>
  <c r="E12" i="3"/>
  <c r="G12" i="3" s="1" a="1"/>
  <c r="G12" i="3" s="1"/>
  <c r="E13" i="3"/>
  <c r="G13" i="3" s="1" a="1"/>
  <c r="G13" i="3" s="1"/>
  <c r="E14" i="3"/>
  <c r="G14" i="3" s="1" a="1"/>
  <c r="G14" i="3" s="1"/>
  <c r="E15" i="3"/>
  <c r="G15" i="3" s="1" a="1"/>
  <c r="G15" i="3" s="1"/>
  <c r="E16" i="3"/>
  <c r="G16" i="3" s="1" a="1"/>
  <c r="G16" i="3" s="1"/>
  <c r="E17" i="3"/>
  <c r="G17" i="3" s="1" a="1"/>
  <c r="G17" i="3" s="1"/>
  <c r="E18" i="3"/>
  <c r="G18" i="3" s="1" a="1"/>
  <c r="G18" i="3" s="1"/>
  <c r="E19" i="3"/>
  <c r="G19" i="3" s="1" a="1"/>
  <c r="G19" i="3" s="1"/>
  <c r="E20" i="3"/>
  <c r="G20" i="3" s="1" a="1"/>
  <c r="G20" i="3" s="1"/>
  <c r="F3" i="3"/>
  <c r="F4" i="3"/>
  <c r="F5" i="3"/>
  <c r="F6" i="3"/>
  <c r="F7" i="3"/>
  <c r="F8" i="3"/>
  <c r="F9" i="3"/>
  <c r="F10" i="3"/>
  <c r="F11" i="3"/>
  <c r="F12" i="3"/>
  <c r="F13" i="3"/>
  <c r="F14" i="3"/>
  <c r="F15" i="3"/>
  <c r="F16" i="3"/>
  <c r="F17" i="3"/>
  <c r="F18" i="3"/>
  <c r="F19" i="3"/>
  <c r="F20" i="3"/>
  <c r="E618" i="3"/>
  <c r="G618" i="3" s="1" a="1"/>
  <c r="G618" i="3" s="1"/>
  <c r="F618" i="3"/>
  <c r="E617" i="3"/>
  <c r="G617" i="3" s="1" a="1"/>
  <c r="G617" i="3" s="1"/>
  <c r="F617" i="3"/>
  <c r="E599" i="3"/>
  <c r="G599" i="3" s="1" a="1"/>
  <c r="G599" i="3" s="1"/>
  <c r="E600" i="3"/>
  <c r="G600" i="3" s="1" a="1"/>
  <c r="G600" i="3" s="1"/>
  <c r="E601" i="3"/>
  <c r="G601" i="3" s="1" a="1"/>
  <c r="G601" i="3" s="1"/>
  <c r="E602" i="3"/>
  <c r="G602" i="3" s="1" a="1"/>
  <c r="G602" i="3" s="1"/>
  <c r="E603" i="3"/>
  <c r="G603" i="3" s="1" a="1"/>
  <c r="G603" i="3" s="1"/>
  <c r="E604" i="3"/>
  <c r="G604" i="3" s="1" a="1"/>
  <c r="G604" i="3" s="1"/>
  <c r="E605" i="3"/>
  <c r="G605" i="3" s="1" a="1"/>
  <c r="G605" i="3" s="1"/>
  <c r="E606" i="3"/>
  <c r="G606" i="3" s="1" a="1"/>
  <c r="G606" i="3" s="1"/>
  <c r="E607" i="3"/>
  <c r="G607" i="3" s="1" a="1"/>
  <c r="G607" i="3" s="1"/>
  <c r="E608" i="3"/>
  <c r="G608" i="3" s="1" a="1"/>
  <c r="G608" i="3" s="1"/>
  <c r="E609" i="3"/>
  <c r="G609" i="3" s="1" a="1"/>
  <c r="G609" i="3" s="1"/>
  <c r="E610" i="3"/>
  <c r="G610" i="3" s="1" a="1"/>
  <c r="G610" i="3" s="1"/>
  <c r="E611" i="3"/>
  <c r="G611" i="3" s="1" a="1"/>
  <c r="G611" i="3" s="1"/>
  <c r="E612" i="3"/>
  <c r="G612" i="3" s="1" a="1"/>
  <c r="G612" i="3" s="1"/>
  <c r="E613" i="3"/>
  <c r="G613" i="3" s="1" a="1"/>
  <c r="G613" i="3" s="1"/>
  <c r="E614" i="3"/>
  <c r="G614" i="3" s="1" a="1"/>
  <c r="G614" i="3" s="1"/>
  <c r="E615" i="3"/>
  <c r="G615" i="3" s="1" a="1"/>
  <c r="G615" i="3" s="1"/>
  <c r="E616" i="3"/>
  <c r="G616" i="3" s="1" a="1"/>
  <c r="G616" i="3" s="1"/>
  <c r="F599" i="3"/>
  <c r="F600" i="3"/>
  <c r="F601" i="3"/>
  <c r="F602" i="3"/>
  <c r="F603" i="3"/>
  <c r="F604" i="3"/>
  <c r="F605" i="3"/>
  <c r="F606" i="3"/>
  <c r="F607" i="3"/>
  <c r="F608" i="3"/>
  <c r="F609" i="3"/>
  <c r="F610" i="3"/>
  <c r="F611" i="3"/>
  <c r="F612" i="3"/>
  <c r="F613" i="3"/>
  <c r="F614" i="3"/>
  <c r="F615" i="3"/>
  <c r="F616" i="3"/>
  <c r="F598" i="3"/>
  <c r="E597" i="3"/>
  <c r="G597" i="3" s="1" a="1"/>
  <c r="G597" i="3" s="1"/>
  <c r="F597" i="3"/>
  <c r="E596" i="3"/>
  <c r="G596" i="3" s="1" a="1"/>
  <c r="G596" i="3" s="1"/>
  <c r="F596" i="3"/>
  <c r="E595" i="3"/>
  <c r="G595" i="3" s="1" a="1"/>
  <c r="G595" i="3" s="1"/>
  <c r="F595" i="3"/>
  <c r="E594" i="3"/>
  <c r="G594" i="3" s="1" a="1"/>
  <c r="G594" i="3" s="1"/>
  <c r="F594" i="3"/>
  <c r="E593" i="3"/>
  <c r="G593" i="3" s="1" a="1"/>
  <c r="G593" i="3" s="1"/>
  <c r="F593" i="3"/>
  <c r="E447" i="3"/>
  <c r="G447" i="3" s="1" a="1"/>
  <c r="G447" i="3" s="1"/>
  <c r="E255" i="3"/>
  <c r="G255" i="3" s="1" a="1"/>
  <c r="G255" i="3" s="1"/>
  <c r="E256" i="3"/>
  <c r="G256" i="3" s="1" a="1"/>
  <c r="G256" i="3" s="1"/>
  <c r="E257" i="3"/>
  <c r="G257" i="3" s="1" a="1"/>
  <c r="G257" i="3" s="1"/>
  <c r="E258" i="3"/>
  <c r="G258" i="3" s="1" a="1"/>
  <c r="G258" i="3" s="1"/>
  <c r="E259" i="3"/>
  <c r="G259" i="3" s="1" a="1"/>
  <c r="G259" i="3" s="1"/>
  <c r="E260" i="3"/>
  <c r="G260" i="3" s="1" a="1"/>
  <c r="G260" i="3" s="1"/>
  <c r="E261" i="3"/>
  <c r="G261" i="3" s="1" a="1"/>
  <c r="G261" i="3" s="1"/>
  <c r="E262" i="3"/>
  <c r="G262" i="3" s="1" a="1"/>
  <c r="G262" i="3" s="1"/>
  <c r="E263" i="3"/>
  <c r="G263" i="3" s="1" a="1"/>
  <c r="G263" i="3" s="1"/>
  <c r="E264" i="3"/>
  <c r="G264" i="3" s="1" a="1"/>
  <c r="G264" i="3" s="1"/>
  <c r="E265" i="3"/>
  <c r="G265" i="3" s="1" a="1"/>
  <c r="G265" i="3" s="1"/>
  <c r="E266" i="3"/>
  <c r="G266" i="3" s="1" a="1"/>
  <c r="G266" i="3" s="1"/>
  <c r="E267" i="3"/>
  <c r="G267" i="3" s="1" a="1"/>
  <c r="G267" i="3" s="1"/>
  <c r="E268" i="3"/>
  <c r="G268" i="3" s="1" a="1"/>
  <c r="G268" i="3" s="1"/>
  <c r="E269" i="3"/>
  <c r="G269" i="3" s="1" a="1"/>
  <c r="G269" i="3" s="1"/>
  <c r="E270" i="3"/>
  <c r="G270" i="3" s="1" a="1"/>
  <c r="G270" i="3" s="1"/>
  <c r="E271" i="3"/>
  <c r="G271" i="3" s="1" a="1"/>
  <c r="G271" i="3" s="1"/>
  <c r="E272" i="3"/>
  <c r="G272" i="3" s="1" a="1"/>
  <c r="G272" i="3" s="1"/>
  <c r="E273" i="3"/>
  <c r="G273" i="3" s="1" a="1"/>
  <c r="G273" i="3" s="1"/>
  <c r="E274" i="3"/>
  <c r="G274" i="3" s="1" a="1"/>
  <c r="G274" i="3" s="1"/>
  <c r="E275" i="3"/>
  <c r="G275" i="3" s="1" a="1"/>
  <c r="G275" i="3" s="1"/>
  <c r="E276" i="3"/>
  <c r="G276" i="3" s="1" a="1"/>
  <c r="G276" i="3" s="1"/>
  <c r="E277" i="3"/>
  <c r="G277" i="3" s="1" a="1"/>
  <c r="G277" i="3" s="1"/>
  <c r="E278" i="3"/>
  <c r="G278" i="3" s="1" a="1"/>
  <c r="G278" i="3" s="1"/>
  <c r="E279" i="3"/>
  <c r="G279" i="3" s="1" a="1"/>
  <c r="G279" i="3" s="1"/>
  <c r="E280" i="3"/>
  <c r="G280" i="3" s="1" a="1"/>
  <c r="G280" i="3" s="1"/>
  <c r="E281" i="3"/>
  <c r="G281" i="3" s="1" a="1"/>
  <c r="G281" i="3" s="1"/>
  <c r="E282" i="3"/>
  <c r="G282" i="3" s="1" a="1"/>
  <c r="G282" i="3" s="1"/>
  <c r="E283" i="3"/>
  <c r="G283" i="3" s="1" a="1"/>
  <c r="G283" i="3" s="1"/>
  <c r="E284" i="3"/>
  <c r="G284" i="3" s="1" a="1"/>
  <c r="G284" i="3" s="1"/>
  <c r="E285" i="3"/>
  <c r="G285" i="3" s="1" a="1"/>
  <c r="G285" i="3" s="1"/>
  <c r="E286" i="3"/>
  <c r="G286" i="3" s="1" a="1"/>
  <c r="G286" i="3" s="1"/>
  <c r="E287" i="3"/>
  <c r="G287" i="3" s="1" a="1"/>
  <c r="G287" i="3" s="1"/>
  <c r="E288" i="3"/>
  <c r="G288" i="3" s="1" a="1"/>
  <c r="G288" i="3" s="1"/>
  <c r="E289" i="3"/>
  <c r="G289" i="3" s="1" a="1"/>
  <c r="G289" i="3" s="1"/>
  <c r="E290" i="3"/>
  <c r="G290" i="3" s="1" a="1"/>
  <c r="G290" i="3" s="1"/>
  <c r="E291" i="3"/>
  <c r="G291" i="3" s="1" a="1"/>
  <c r="G291" i="3" s="1"/>
  <c r="E292" i="3"/>
  <c r="G292" i="3" s="1" a="1"/>
  <c r="G292" i="3" s="1"/>
  <c r="E293" i="3"/>
  <c r="G293" i="3" s="1" a="1"/>
  <c r="G293" i="3" s="1"/>
  <c r="E294" i="3"/>
  <c r="G294" i="3" s="1" a="1"/>
  <c r="G294" i="3" s="1"/>
  <c r="E295" i="3"/>
  <c r="G295" i="3" s="1" a="1"/>
  <c r="G295" i="3" s="1"/>
  <c r="E296" i="3"/>
  <c r="G296" i="3" s="1" a="1"/>
  <c r="G296" i="3" s="1"/>
  <c r="E297" i="3"/>
  <c r="G297" i="3" s="1" a="1"/>
  <c r="G297" i="3" s="1"/>
  <c r="E298" i="3"/>
  <c r="G298" i="3" s="1" a="1"/>
  <c r="G298" i="3" s="1"/>
  <c r="E299" i="3"/>
  <c r="G299" i="3" s="1" a="1"/>
  <c r="G299" i="3" s="1"/>
  <c r="E300" i="3"/>
  <c r="G300" i="3" s="1" a="1"/>
  <c r="G300" i="3" s="1"/>
  <c r="E301" i="3"/>
  <c r="G301" i="3" s="1" a="1"/>
  <c r="G301" i="3" s="1"/>
  <c r="E302" i="3"/>
  <c r="G302" i="3" s="1" a="1"/>
  <c r="G302" i="3" s="1"/>
  <c r="E303" i="3"/>
  <c r="G303" i="3" s="1" a="1"/>
  <c r="G303" i="3" s="1"/>
  <c r="E304" i="3"/>
  <c r="G304" i="3" s="1" a="1"/>
  <c r="G304" i="3" s="1"/>
  <c r="E305" i="3"/>
  <c r="G305" i="3" s="1" a="1"/>
  <c r="G305" i="3" s="1"/>
  <c r="E306" i="3"/>
  <c r="G306" i="3" s="1" a="1"/>
  <c r="G306" i="3" s="1"/>
  <c r="E307" i="3"/>
  <c r="G307" i="3" s="1" a="1"/>
  <c r="G307" i="3" s="1"/>
  <c r="E308" i="3"/>
  <c r="G308" i="3" s="1" a="1"/>
  <c r="G308" i="3" s="1"/>
  <c r="E309" i="3"/>
  <c r="G309" i="3" s="1" a="1"/>
  <c r="G309" i="3" s="1"/>
  <c r="E310" i="3"/>
  <c r="G310" i="3" s="1" a="1"/>
  <c r="G310" i="3" s="1"/>
  <c r="E311" i="3"/>
  <c r="G311" i="3" s="1" a="1"/>
  <c r="G311" i="3" s="1"/>
  <c r="E312" i="3"/>
  <c r="G312" i="3" s="1" a="1"/>
  <c r="G312" i="3" s="1"/>
  <c r="E313" i="3"/>
  <c r="G313" i="3" s="1" a="1"/>
  <c r="G313" i="3" s="1"/>
  <c r="E314" i="3"/>
  <c r="G314" i="3" s="1" a="1"/>
  <c r="G314" i="3" s="1"/>
  <c r="E315" i="3"/>
  <c r="G315" i="3" s="1" a="1"/>
  <c r="G315" i="3" s="1"/>
  <c r="E316" i="3"/>
  <c r="G316" i="3" s="1" a="1"/>
  <c r="G316" i="3" s="1"/>
  <c r="E317" i="3"/>
  <c r="G317" i="3" s="1" a="1"/>
  <c r="G317" i="3" s="1"/>
  <c r="E318" i="3"/>
  <c r="G318" i="3" s="1" a="1"/>
  <c r="G318" i="3" s="1"/>
  <c r="E319" i="3"/>
  <c r="G319" i="3" s="1" a="1"/>
  <c r="G319" i="3" s="1"/>
  <c r="E320" i="3"/>
  <c r="G320" i="3" s="1" a="1"/>
  <c r="G320" i="3" s="1"/>
  <c r="E321" i="3"/>
  <c r="G321" i="3" s="1" a="1"/>
  <c r="G321" i="3" s="1"/>
  <c r="E322" i="3"/>
  <c r="G322" i="3" s="1" a="1"/>
  <c r="G322" i="3" s="1"/>
  <c r="E323" i="3"/>
  <c r="G323" i="3" s="1" a="1"/>
  <c r="G323" i="3" s="1"/>
  <c r="E324" i="3"/>
  <c r="G324" i="3" s="1" a="1"/>
  <c r="G324" i="3" s="1"/>
  <c r="E325" i="3"/>
  <c r="G325" i="3" s="1" a="1"/>
  <c r="G325" i="3" s="1"/>
  <c r="E326" i="3"/>
  <c r="G326" i="3" s="1" a="1"/>
  <c r="G326" i="3" s="1"/>
  <c r="E327" i="3"/>
  <c r="G327" i="3" s="1" a="1"/>
  <c r="G327" i="3" s="1"/>
  <c r="E328" i="3"/>
  <c r="G328" i="3" s="1" a="1"/>
  <c r="G328" i="3" s="1"/>
  <c r="E329" i="3"/>
  <c r="G329" i="3" s="1" a="1"/>
  <c r="G329" i="3" s="1"/>
  <c r="E330" i="3"/>
  <c r="G330" i="3" s="1" a="1"/>
  <c r="G330" i="3" s="1"/>
  <c r="E331" i="3"/>
  <c r="G331" i="3" s="1" a="1"/>
  <c r="G331" i="3" s="1"/>
  <c r="E332" i="3"/>
  <c r="G332" i="3" s="1" a="1"/>
  <c r="G332" i="3" s="1"/>
  <c r="E333" i="3"/>
  <c r="G333" i="3" s="1" a="1"/>
  <c r="G333" i="3" s="1"/>
  <c r="E334" i="3"/>
  <c r="G334" i="3" s="1" a="1"/>
  <c r="G334" i="3" s="1"/>
  <c r="E335" i="3"/>
  <c r="G335" i="3" s="1" a="1"/>
  <c r="G335" i="3" s="1"/>
  <c r="E336" i="3"/>
  <c r="G336" i="3" s="1" a="1"/>
  <c r="G336" i="3" s="1"/>
  <c r="E337" i="3"/>
  <c r="G337" i="3" s="1" a="1"/>
  <c r="G337" i="3" s="1"/>
  <c r="E338" i="3"/>
  <c r="G338" i="3" s="1" a="1"/>
  <c r="G338" i="3" s="1"/>
  <c r="E339" i="3"/>
  <c r="G339" i="3" s="1" a="1"/>
  <c r="G339" i="3" s="1"/>
  <c r="E340" i="3"/>
  <c r="G340" i="3" s="1" a="1"/>
  <c r="G340" i="3" s="1"/>
  <c r="E341" i="3"/>
  <c r="G341" i="3" s="1" a="1"/>
  <c r="G341" i="3" s="1"/>
  <c r="E342" i="3"/>
  <c r="G342" i="3" s="1" a="1"/>
  <c r="G342" i="3" s="1"/>
  <c r="E343" i="3"/>
  <c r="G343" i="3" s="1" a="1"/>
  <c r="G343" i="3" s="1"/>
  <c r="E344" i="3"/>
  <c r="G344" i="3" s="1" a="1"/>
  <c r="G344" i="3" s="1"/>
  <c r="E345" i="3"/>
  <c r="G345" i="3" s="1" a="1"/>
  <c r="G345" i="3" s="1"/>
  <c r="E346" i="3"/>
  <c r="G346" i="3" s="1" a="1"/>
  <c r="G346" i="3" s="1"/>
  <c r="E347" i="3"/>
  <c r="G347" i="3" s="1" a="1"/>
  <c r="G347" i="3" s="1"/>
  <c r="E348" i="3"/>
  <c r="G348" i="3" s="1" a="1"/>
  <c r="G348" i="3" s="1"/>
  <c r="E349" i="3"/>
  <c r="G349" i="3" s="1" a="1"/>
  <c r="G349" i="3" s="1"/>
  <c r="E350" i="3"/>
  <c r="G350" i="3" s="1" a="1"/>
  <c r="G350" i="3" s="1"/>
  <c r="E351" i="3"/>
  <c r="G351" i="3" s="1" a="1"/>
  <c r="G351" i="3" s="1"/>
  <c r="E352" i="3"/>
  <c r="G352" i="3" s="1" a="1"/>
  <c r="G352" i="3" s="1"/>
  <c r="E353" i="3"/>
  <c r="G353" i="3" s="1" a="1"/>
  <c r="G353" i="3" s="1"/>
  <c r="E354" i="3"/>
  <c r="G354" i="3" s="1" a="1"/>
  <c r="G354" i="3" s="1"/>
  <c r="E355" i="3"/>
  <c r="G355" i="3" s="1" a="1"/>
  <c r="G355" i="3" s="1"/>
  <c r="E356" i="3"/>
  <c r="G356" i="3" s="1" a="1"/>
  <c r="G356" i="3" s="1"/>
  <c r="E357" i="3"/>
  <c r="G357" i="3" s="1" a="1"/>
  <c r="G357" i="3" s="1"/>
  <c r="E358" i="3"/>
  <c r="G358" i="3" s="1" a="1"/>
  <c r="G358" i="3" s="1"/>
  <c r="E359" i="3"/>
  <c r="G359" i="3" s="1" a="1"/>
  <c r="G359" i="3" s="1"/>
  <c r="E360" i="3"/>
  <c r="G360" i="3" s="1" a="1"/>
  <c r="G360" i="3" s="1"/>
  <c r="E361" i="3"/>
  <c r="G361" i="3" s="1" a="1"/>
  <c r="G361" i="3" s="1"/>
  <c r="E362" i="3"/>
  <c r="G362" i="3" s="1" a="1"/>
  <c r="G362" i="3" s="1"/>
  <c r="E363" i="3"/>
  <c r="G363" i="3" s="1" a="1"/>
  <c r="G363" i="3" s="1"/>
  <c r="E364" i="3"/>
  <c r="G364" i="3" s="1" a="1"/>
  <c r="G364" i="3" s="1"/>
  <c r="E365" i="3"/>
  <c r="G365" i="3" s="1" a="1"/>
  <c r="G365" i="3" s="1"/>
  <c r="E366" i="3"/>
  <c r="G366" i="3" s="1" a="1"/>
  <c r="G366" i="3" s="1"/>
  <c r="E367" i="3"/>
  <c r="G367" i="3" s="1" a="1"/>
  <c r="G367" i="3" s="1"/>
  <c r="E368" i="3"/>
  <c r="G368" i="3" s="1" a="1"/>
  <c r="G368" i="3" s="1"/>
  <c r="E369" i="3"/>
  <c r="G369" i="3" s="1" a="1"/>
  <c r="G369" i="3" s="1"/>
  <c r="E370" i="3"/>
  <c r="G370" i="3" s="1" a="1"/>
  <c r="G370" i="3" s="1"/>
  <c r="E371" i="3"/>
  <c r="G371" i="3" s="1" a="1"/>
  <c r="G371" i="3" s="1"/>
  <c r="E372" i="3"/>
  <c r="G372" i="3" s="1" a="1"/>
  <c r="G372" i="3" s="1"/>
  <c r="E373" i="3"/>
  <c r="G373" i="3" s="1" a="1"/>
  <c r="G373" i="3" s="1"/>
  <c r="E374" i="3"/>
  <c r="G374" i="3" s="1" a="1"/>
  <c r="G374" i="3" s="1"/>
  <c r="E375" i="3"/>
  <c r="G375" i="3" s="1" a="1"/>
  <c r="G375" i="3" s="1"/>
  <c r="E376" i="3"/>
  <c r="G376" i="3" s="1" a="1"/>
  <c r="G376" i="3" s="1"/>
  <c r="E377" i="3"/>
  <c r="G377" i="3" s="1" a="1"/>
  <c r="G377" i="3" s="1"/>
  <c r="E378" i="3"/>
  <c r="G378" i="3" s="1" a="1"/>
  <c r="G378" i="3" s="1"/>
  <c r="E379" i="3"/>
  <c r="G379" i="3" s="1" a="1"/>
  <c r="G379" i="3" s="1"/>
  <c r="E380" i="3"/>
  <c r="G380" i="3" s="1" a="1"/>
  <c r="G380" i="3" s="1"/>
  <c r="E381" i="3"/>
  <c r="G381" i="3" s="1" a="1"/>
  <c r="G381" i="3" s="1"/>
  <c r="E382" i="3"/>
  <c r="G382" i="3" s="1" a="1"/>
  <c r="G382" i="3" s="1"/>
  <c r="E383" i="3"/>
  <c r="G383" i="3" s="1" a="1"/>
  <c r="G383" i="3" s="1"/>
  <c r="E384" i="3"/>
  <c r="G384" i="3" s="1" a="1"/>
  <c r="G384" i="3" s="1"/>
  <c r="E385" i="3"/>
  <c r="G385" i="3" s="1" a="1"/>
  <c r="G385" i="3" s="1"/>
  <c r="E386" i="3"/>
  <c r="G386" i="3" s="1" a="1"/>
  <c r="G386" i="3" s="1"/>
  <c r="E387" i="3"/>
  <c r="G387" i="3" s="1" a="1"/>
  <c r="G387" i="3" s="1"/>
  <c r="E388" i="3"/>
  <c r="G388" i="3" s="1" a="1"/>
  <c r="G388" i="3" s="1"/>
  <c r="E389" i="3"/>
  <c r="G389" i="3" s="1" a="1"/>
  <c r="G389" i="3" s="1"/>
  <c r="E390" i="3"/>
  <c r="G390" i="3" s="1" a="1"/>
  <c r="G390" i="3" s="1"/>
  <c r="E391" i="3"/>
  <c r="G391" i="3" s="1" a="1"/>
  <c r="G391" i="3" s="1"/>
  <c r="E392" i="3"/>
  <c r="G392" i="3" s="1" a="1"/>
  <c r="G392" i="3" s="1"/>
  <c r="E393" i="3"/>
  <c r="G393" i="3" s="1" a="1"/>
  <c r="G393" i="3" s="1"/>
  <c r="E394" i="3"/>
  <c r="G394" i="3" s="1" a="1"/>
  <c r="G394" i="3" s="1"/>
  <c r="E395" i="3"/>
  <c r="G395" i="3" s="1" a="1"/>
  <c r="G395" i="3" s="1"/>
  <c r="E396" i="3"/>
  <c r="G396" i="3" s="1" a="1"/>
  <c r="G396" i="3" s="1"/>
  <c r="E397" i="3"/>
  <c r="G397" i="3" s="1" a="1"/>
  <c r="G397" i="3" s="1"/>
  <c r="E398" i="3"/>
  <c r="G398" i="3" s="1" a="1"/>
  <c r="G398" i="3" s="1"/>
  <c r="E399" i="3"/>
  <c r="G399" i="3" s="1" a="1"/>
  <c r="G399" i="3" s="1"/>
  <c r="E400" i="3"/>
  <c r="G400" i="3" s="1" a="1"/>
  <c r="G400" i="3" s="1"/>
  <c r="E401" i="3"/>
  <c r="G401" i="3" s="1" a="1"/>
  <c r="G401" i="3" s="1"/>
  <c r="E402" i="3"/>
  <c r="G402" i="3" s="1" a="1"/>
  <c r="G402" i="3" s="1"/>
  <c r="E403" i="3"/>
  <c r="G403" i="3" s="1" a="1"/>
  <c r="G403" i="3" s="1"/>
  <c r="E404" i="3"/>
  <c r="G404" i="3" s="1" a="1"/>
  <c r="G404" i="3" s="1"/>
  <c r="E405" i="3"/>
  <c r="G405" i="3" s="1" a="1"/>
  <c r="G405" i="3" s="1"/>
  <c r="E406" i="3"/>
  <c r="G406" i="3" s="1" a="1"/>
  <c r="G406" i="3" s="1"/>
  <c r="E407" i="3"/>
  <c r="G407" i="3" s="1" a="1"/>
  <c r="G407" i="3" s="1"/>
  <c r="E408" i="3"/>
  <c r="G408" i="3" s="1" a="1"/>
  <c r="G408" i="3" s="1"/>
  <c r="E409" i="3"/>
  <c r="G409" i="3" s="1" a="1"/>
  <c r="G409" i="3" s="1"/>
  <c r="E410" i="3"/>
  <c r="G410" i="3" s="1" a="1"/>
  <c r="G410" i="3" s="1"/>
  <c r="E411" i="3"/>
  <c r="G411" i="3" s="1" a="1"/>
  <c r="G411" i="3" s="1"/>
  <c r="E412" i="3"/>
  <c r="G412" i="3" s="1" a="1"/>
  <c r="G412" i="3" s="1"/>
  <c r="E413" i="3"/>
  <c r="G413" i="3" s="1" a="1"/>
  <c r="G413" i="3" s="1"/>
  <c r="E414" i="3"/>
  <c r="G414" i="3" s="1" a="1"/>
  <c r="G414" i="3" s="1"/>
  <c r="E415" i="3"/>
  <c r="G415" i="3" s="1" a="1"/>
  <c r="G415" i="3" s="1"/>
  <c r="E416" i="3"/>
  <c r="G416" i="3" s="1" a="1"/>
  <c r="G416" i="3" s="1"/>
  <c r="E417" i="3"/>
  <c r="G417" i="3" s="1" a="1"/>
  <c r="G417" i="3" s="1"/>
  <c r="E418" i="3"/>
  <c r="G418" i="3" s="1" a="1"/>
  <c r="G418" i="3" s="1"/>
  <c r="E419" i="3"/>
  <c r="G419" i="3" s="1" a="1"/>
  <c r="G419" i="3" s="1"/>
  <c r="E420" i="3"/>
  <c r="G420" i="3" s="1" a="1"/>
  <c r="G420" i="3" s="1"/>
  <c r="E421" i="3"/>
  <c r="G421" i="3" s="1" a="1"/>
  <c r="G421" i="3" s="1"/>
  <c r="E422" i="3"/>
  <c r="G422" i="3" s="1" a="1"/>
  <c r="G422" i="3" s="1"/>
  <c r="E423" i="3"/>
  <c r="G423" i="3" s="1" a="1"/>
  <c r="G423" i="3" s="1"/>
  <c r="E424" i="3"/>
  <c r="G424" i="3" s="1" a="1"/>
  <c r="G424" i="3" s="1"/>
  <c r="E425" i="3"/>
  <c r="G425" i="3" s="1" a="1"/>
  <c r="G425" i="3" s="1"/>
  <c r="E426" i="3"/>
  <c r="G426" i="3" s="1" a="1"/>
  <c r="G426" i="3" s="1"/>
  <c r="E427" i="3"/>
  <c r="G427" i="3" s="1" a="1"/>
  <c r="G427" i="3" s="1"/>
  <c r="E428" i="3"/>
  <c r="G428" i="3" s="1" a="1"/>
  <c r="G428" i="3" s="1"/>
  <c r="E429" i="3"/>
  <c r="G429" i="3" s="1" a="1"/>
  <c r="G429" i="3" s="1"/>
  <c r="E430" i="3"/>
  <c r="G430" i="3" s="1" a="1"/>
  <c r="G430" i="3" s="1"/>
  <c r="E431" i="3"/>
  <c r="G431" i="3" s="1" a="1"/>
  <c r="G431" i="3" s="1"/>
  <c r="E432" i="3"/>
  <c r="G432" i="3" s="1" a="1"/>
  <c r="G432" i="3" s="1"/>
  <c r="E433" i="3"/>
  <c r="G433" i="3" s="1" a="1"/>
  <c r="G433" i="3" s="1"/>
  <c r="E434" i="3"/>
  <c r="G434" i="3" s="1" a="1"/>
  <c r="G434" i="3" s="1"/>
  <c r="E435" i="3"/>
  <c r="G435" i="3" s="1" a="1"/>
  <c r="G435" i="3" s="1"/>
  <c r="E436" i="3"/>
  <c r="G436" i="3" s="1" a="1"/>
  <c r="G436" i="3" s="1"/>
  <c r="E437" i="3"/>
  <c r="G437" i="3" s="1" a="1"/>
  <c r="G437" i="3" s="1"/>
  <c r="E438" i="3"/>
  <c r="G438" i="3" s="1" a="1"/>
  <c r="G438" i="3" s="1"/>
  <c r="E439" i="3"/>
  <c r="G439" i="3" s="1" a="1"/>
  <c r="G439" i="3" s="1"/>
  <c r="E440" i="3"/>
  <c r="G440" i="3" s="1" a="1"/>
  <c r="G440" i="3" s="1"/>
  <c r="E441" i="3"/>
  <c r="G441" i="3" s="1" a="1"/>
  <c r="G441" i="3" s="1"/>
  <c r="E442" i="3"/>
  <c r="G442" i="3" s="1" a="1"/>
  <c r="G442" i="3" s="1"/>
  <c r="E443" i="3"/>
  <c r="G443" i="3" s="1" a="1"/>
  <c r="G443" i="3" s="1"/>
  <c r="E444" i="3"/>
  <c r="G444" i="3" s="1" a="1"/>
  <c r="G444" i="3" s="1"/>
  <c r="E445" i="3"/>
  <c r="G445" i="3" s="1" a="1"/>
  <c r="G445" i="3" s="1"/>
  <c r="E446" i="3"/>
  <c r="G446" i="3" s="1" a="1"/>
  <c r="G446" i="3" s="1"/>
  <c r="E448" i="3"/>
  <c r="G448" i="3" s="1" a="1"/>
  <c r="G448" i="3" s="1"/>
  <c r="E449" i="3"/>
  <c r="G449" i="3" s="1" a="1"/>
  <c r="G449" i="3" s="1"/>
  <c r="E450" i="3"/>
  <c r="G450" i="3" s="1" a="1"/>
  <c r="G450" i="3" s="1"/>
  <c r="E451" i="3"/>
  <c r="G451" i="3" s="1" a="1"/>
  <c r="G451" i="3" s="1"/>
  <c r="E452" i="3"/>
  <c r="G452" i="3" s="1" a="1"/>
  <c r="G452" i="3" s="1"/>
  <c r="E453" i="3"/>
  <c r="G453" i="3" s="1" a="1"/>
  <c r="G453" i="3" s="1"/>
  <c r="E454" i="3"/>
  <c r="G454" i="3" s="1" a="1"/>
  <c r="G454" i="3" s="1"/>
  <c r="E455" i="3"/>
  <c r="G455" i="3" s="1" a="1"/>
  <c r="G455" i="3" s="1"/>
  <c r="E456" i="3"/>
  <c r="G456" i="3" s="1" a="1"/>
  <c r="G456" i="3" s="1"/>
  <c r="E457" i="3"/>
  <c r="G457" i="3" s="1" a="1"/>
  <c r="G457" i="3" s="1"/>
  <c r="E458" i="3"/>
  <c r="G458" i="3" s="1" a="1"/>
  <c r="G458" i="3" s="1"/>
  <c r="E459" i="3"/>
  <c r="G459" i="3" s="1" a="1"/>
  <c r="G459" i="3" s="1"/>
  <c r="E460" i="3"/>
  <c r="G460" i="3" s="1" a="1"/>
  <c r="G460" i="3" s="1"/>
  <c r="E461" i="3"/>
  <c r="G461" i="3" s="1" a="1"/>
  <c r="G461" i="3" s="1"/>
  <c r="E462" i="3"/>
  <c r="G462" i="3" s="1" a="1"/>
  <c r="G462" i="3" s="1"/>
  <c r="E463" i="3"/>
  <c r="G463" i="3" s="1" a="1"/>
  <c r="G463" i="3" s="1"/>
  <c r="E464" i="3"/>
  <c r="G464" i="3" s="1" a="1"/>
  <c r="G464" i="3" s="1"/>
  <c r="E465" i="3"/>
  <c r="G465" i="3" s="1" a="1"/>
  <c r="G465" i="3" s="1"/>
  <c r="E466" i="3"/>
  <c r="G466" i="3" s="1" a="1"/>
  <c r="G466" i="3" s="1"/>
  <c r="E467" i="3"/>
  <c r="G467" i="3" s="1" a="1"/>
  <c r="G467" i="3" s="1"/>
  <c r="E468" i="3"/>
  <c r="G468" i="3" s="1" a="1"/>
  <c r="G468" i="3" s="1"/>
  <c r="E469" i="3"/>
  <c r="G469" i="3" s="1" a="1"/>
  <c r="G469" i="3" s="1"/>
  <c r="E470" i="3"/>
  <c r="G470" i="3" s="1" a="1"/>
  <c r="G470" i="3" s="1"/>
  <c r="E471" i="3"/>
  <c r="G471" i="3" s="1" a="1"/>
  <c r="G471" i="3" s="1"/>
  <c r="E472" i="3"/>
  <c r="G472" i="3" s="1" a="1"/>
  <c r="G472" i="3" s="1"/>
  <c r="E473" i="3"/>
  <c r="G473" i="3" s="1" a="1"/>
  <c r="G473" i="3" s="1"/>
  <c r="E474" i="3"/>
  <c r="G474" i="3" s="1" a="1"/>
  <c r="G474" i="3" s="1"/>
  <c r="E475" i="3"/>
  <c r="G475" i="3" s="1" a="1"/>
  <c r="G475" i="3" s="1"/>
  <c r="E476" i="3"/>
  <c r="G476" i="3" s="1" a="1"/>
  <c r="G476" i="3" s="1"/>
  <c r="E477" i="3"/>
  <c r="G477" i="3" s="1" a="1"/>
  <c r="G477" i="3" s="1"/>
  <c r="E478" i="3"/>
  <c r="G478" i="3" s="1" a="1"/>
  <c r="G478" i="3" s="1"/>
  <c r="E479" i="3"/>
  <c r="G479" i="3" s="1" a="1"/>
  <c r="G479" i="3" s="1"/>
  <c r="E480" i="3"/>
  <c r="G480" i="3" s="1" a="1"/>
  <c r="G480" i="3" s="1"/>
  <c r="E481" i="3"/>
  <c r="G481" i="3" s="1" a="1"/>
  <c r="G481" i="3" s="1"/>
  <c r="E482" i="3"/>
  <c r="G482" i="3" s="1" a="1"/>
  <c r="G482" i="3" s="1"/>
  <c r="E483" i="3"/>
  <c r="G483" i="3" s="1" a="1"/>
  <c r="G483" i="3" s="1"/>
  <c r="E484" i="3"/>
  <c r="G484" i="3" s="1" a="1"/>
  <c r="G484" i="3" s="1"/>
  <c r="E485" i="3"/>
  <c r="G485" i="3" s="1" a="1"/>
  <c r="G485" i="3" s="1"/>
  <c r="E486" i="3"/>
  <c r="G486" i="3" s="1" a="1"/>
  <c r="G486" i="3" s="1"/>
  <c r="E487" i="3"/>
  <c r="G487" i="3" s="1" a="1"/>
  <c r="G487" i="3" s="1"/>
  <c r="E488" i="3"/>
  <c r="G488" i="3" s="1" a="1"/>
  <c r="G488" i="3" s="1"/>
  <c r="E489" i="3"/>
  <c r="G489" i="3" s="1" a="1"/>
  <c r="G489" i="3" s="1"/>
  <c r="E490" i="3"/>
  <c r="G490" i="3" s="1" a="1"/>
  <c r="G490" i="3" s="1"/>
  <c r="E491" i="3"/>
  <c r="G491" i="3" s="1" a="1"/>
  <c r="G491" i="3" s="1"/>
  <c r="E492" i="3"/>
  <c r="G492" i="3" s="1" a="1"/>
  <c r="G492" i="3" s="1"/>
  <c r="E493" i="3"/>
  <c r="G493" i="3" s="1" a="1"/>
  <c r="G493" i="3" s="1"/>
  <c r="E494" i="3"/>
  <c r="G494" i="3" s="1" a="1"/>
  <c r="G494" i="3" s="1"/>
  <c r="E495" i="3"/>
  <c r="G495" i="3" s="1" a="1"/>
  <c r="G495" i="3" s="1"/>
  <c r="E496" i="3"/>
  <c r="G496" i="3" s="1" a="1"/>
  <c r="G496" i="3" s="1"/>
  <c r="E497" i="3"/>
  <c r="G497" i="3" s="1" a="1"/>
  <c r="G497" i="3" s="1"/>
  <c r="E498" i="3"/>
  <c r="G498" i="3" s="1" a="1"/>
  <c r="G498" i="3" s="1"/>
  <c r="E499" i="3"/>
  <c r="G499" i="3" s="1" a="1"/>
  <c r="G499" i="3" s="1"/>
  <c r="E500" i="3"/>
  <c r="G500" i="3" s="1" a="1"/>
  <c r="G500" i="3" s="1"/>
  <c r="E501" i="3"/>
  <c r="G501" i="3" s="1" a="1"/>
  <c r="G501" i="3" s="1"/>
  <c r="E502" i="3"/>
  <c r="G502" i="3" s="1" a="1"/>
  <c r="G502" i="3" s="1"/>
  <c r="E503" i="3"/>
  <c r="G503" i="3" s="1" a="1"/>
  <c r="G503" i="3" s="1"/>
  <c r="E504" i="3"/>
  <c r="G504" i="3" s="1" a="1"/>
  <c r="G504" i="3" s="1"/>
  <c r="E505" i="3"/>
  <c r="G505" i="3" s="1" a="1"/>
  <c r="G505" i="3" s="1"/>
  <c r="E506" i="3"/>
  <c r="G506" i="3" s="1" a="1"/>
  <c r="G506" i="3" s="1"/>
  <c r="E507" i="3"/>
  <c r="G507" i="3" s="1" a="1"/>
  <c r="G507" i="3" s="1"/>
  <c r="E508" i="3"/>
  <c r="G508" i="3" s="1" a="1"/>
  <c r="G508" i="3" s="1"/>
  <c r="E509" i="3"/>
  <c r="G509" i="3" s="1" a="1"/>
  <c r="G509" i="3" s="1"/>
  <c r="E510" i="3"/>
  <c r="G510" i="3" s="1" a="1"/>
  <c r="G510" i="3" s="1"/>
  <c r="E511" i="3"/>
  <c r="G511" i="3" s="1" a="1"/>
  <c r="G511" i="3" s="1"/>
  <c r="E512" i="3"/>
  <c r="G512" i="3" s="1" a="1"/>
  <c r="G512" i="3" s="1"/>
  <c r="E513" i="3"/>
  <c r="G513" i="3" s="1" a="1"/>
  <c r="G513" i="3" s="1"/>
  <c r="E514" i="3"/>
  <c r="G514" i="3" s="1" a="1"/>
  <c r="G514" i="3" s="1"/>
  <c r="E515" i="3"/>
  <c r="G515" i="3" s="1" a="1"/>
  <c r="G515" i="3" s="1"/>
  <c r="E516" i="3"/>
  <c r="G516" i="3" s="1" a="1"/>
  <c r="G516" i="3" s="1"/>
  <c r="E517" i="3"/>
  <c r="G517" i="3" s="1" a="1"/>
  <c r="G517" i="3" s="1"/>
  <c r="E518" i="3"/>
  <c r="G518" i="3" s="1" a="1"/>
  <c r="G518" i="3" s="1"/>
  <c r="E519" i="3"/>
  <c r="G519" i="3" s="1" a="1"/>
  <c r="G519" i="3" s="1"/>
  <c r="E520" i="3"/>
  <c r="G520" i="3" s="1" a="1"/>
  <c r="G520" i="3" s="1"/>
  <c r="E521" i="3"/>
  <c r="G521" i="3" s="1" a="1"/>
  <c r="G521" i="3" s="1"/>
  <c r="E522" i="3"/>
  <c r="G522" i="3" s="1" a="1"/>
  <c r="G522" i="3" s="1"/>
  <c r="E523" i="3"/>
  <c r="G523" i="3" s="1" a="1"/>
  <c r="G523" i="3" s="1"/>
  <c r="E524" i="3"/>
  <c r="G524" i="3" s="1" a="1"/>
  <c r="G524" i="3" s="1"/>
  <c r="E525" i="3"/>
  <c r="G525" i="3" s="1" a="1"/>
  <c r="G525" i="3" s="1"/>
  <c r="E526" i="3"/>
  <c r="G526" i="3" s="1" a="1"/>
  <c r="G526" i="3" s="1"/>
  <c r="E527" i="3"/>
  <c r="G527" i="3" s="1" a="1"/>
  <c r="G527" i="3" s="1"/>
  <c r="E528" i="3"/>
  <c r="G528" i="3" s="1" a="1"/>
  <c r="G528" i="3" s="1"/>
  <c r="E529" i="3"/>
  <c r="G529" i="3" s="1" a="1"/>
  <c r="G529" i="3" s="1"/>
  <c r="E530" i="3"/>
  <c r="G530" i="3" s="1" a="1"/>
  <c r="G530" i="3" s="1"/>
  <c r="E531" i="3"/>
  <c r="G531" i="3" s="1" a="1"/>
  <c r="G531" i="3" s="1"/>
  <c r="E532" i="3"/>
  <c r="G532" i="3" s="1" a="1"/>
  <c r="G532" i="3" s="1"/>
  <c r="E533" i="3"/>
  <c r="G533" i="3" s="1" a="1"/>
  <c r="G533" i="3" s="1"/>
  <c r="E534" i="3"/>
  <c r="G534" i="3" s="1" a="1"/>
  <c r="G534" i="3" s="1"/>
  <c r="E535" i="3"/>
  <c r="G535" i="3" s="1" a="1"/>
  <c r="G535" i="3" s="1"/>
  <c r="E536" i="3"/>
  <c r="G536" i="3" s="1" a="1"/>
  <c r="G536" i="3" s="1"/>
  <c r="E537" i="3"/>
  <c r="G537" i="3" s="1" a="1"/>
  <c r="G537" i="3" s="1"/>
  <c r="E538" i="3"/>
  <c r="G538" i="3" s="1" a="1"/>
  <c r="G538" i="3" s="1"/>
  <c r="E539" i="3"/>
  <c r="G539" i="3" s="1" a="1"/>
  <c r="G539" i="3" s="1"/>
  <c r="E540" i="3"/>
  <c r="G540" i="3" s="1" a="1"/>
  <c r="G540" i="3" s="1"/>
  <c r="E541" i="3"/>
  <c r="G541" i="3" s="1" a="1"/>
  <c r="G541" i="3" s="1"/>
  <c r="E542" i="3"/>
  <c r="G542" i="3" s="1" a="1"/>
  <c r="G542" i="3" s="1"/>
  <c r="E543" i="3"/>
  <c r="G543" i="3" s="1" a="1"/>
  <c r="G543" i="3" s="1"/>
  <c r="E544" i="3"/>
  <c r="G544" i="3" s="1" a="1"/>
  <c r="G544" i="3" s="1"/>
  <c r="E545" i="3"/>
  <c r="G545" i="3" s="1" a="1"/>
  <c r="G545" i="3" s="1"/>
  <c r="E546" i="3"/>
  <c r="G546" i="3" s="1" a="1"/>
  <c r="G546" i="3" s="1"/>
  <c r="E547" i="3"/>
  <c r="G547" i="3" s="1" a="1"/>
  <c r="G547" i="3" s="1"/>
  <c r="E548" i="3"/>
  <c r="G548" i="3" s="1" a="1"/>
  <c r="G548" i="3" s="1"/>
  <c r="E549" i="3"/>
  <c r="G549" i="3" s="1" a="1"/>
  <c r="G549" i="3" s="1"/>
  <c r="E550" i="3"/>
  <c r="G550" i="3" s="1" a="1"/>
  <c r="G550" i="3" s="1"/>
  <c r="E551" i="3"/>
  <c r="G551" i="3" s="1" a="1"/>
  <c r="G551" i="3" s="1"/>
  <c r="E552" i="3"/>
  <c r="G552" i="3" s="1" a="1"/>
  <c r="G552" i="3" s="1"/>
  <c r="E553" i="3"/>
  <c r="G553" i="3" s="1" a="1"/>
  <c r="G553" i="3" s="1"/>
  <c r="E554" i="3"/>
  <c r="G554" i="3" s="1" a="1"/>
  <c r="G554" i="3" s="1"/>
  <c r="E555" i="3"/>
  <c r="G555" i="3" s="1" a="1"/>
  <c r="G555" i="3" s="1"/>
  <c r="E556" i="3"/>
  <c r="G556" i="3" s="1" a="1"/>
  <c r="G556" i="3" s="1"/>
  <c r="E557" i="3"/>
  <c r="G557" i="3" s="1" a="1"/>
  <c r="G557" i="3" s="1"/>
  <c r="E558" i="3"/>
  <c r="G558" i="3" s="1" a="1"/>
  <c r="G558" i="3" s="1"/>
  <c r="E559" i="3"/>
  <c r="G559" i="3" s="1" a="1"/>
  <c r="G559" i="3" s="1"/>
  <c r="E560" i="3"/>
  <c r="G560" i="3" s="1" a="1"/>
  <c r="G560" i="3" s="1"/>
  <c r="E561" i="3"/>
  <c r="G561" i="3" s="1" a="1"/>
  <c r="G561" i="3" s="1"/>
  <c r="E562" i="3"/>
  <c r="G562" i="3" s="1" a="1"/>
  <c r="G562" i="3" s="1"/>
  <c r="E563" i="3"/>
  <c r="G563" i="3" s="1" a="1"/>
  <c r="G563" i="3" s="1"/>
  <c r="E564" i="3"/>
  <c r="G564" i="3" s="1" a="1"/>
  <c r="G564" i="3" s="1"/>
  <c r="E565" i="3"/>
  <c r="G565" i="3" s="1" a="1"/>
  <c r="G565" i="3" s="1"/>
  <c r="E566" i="3"/>
  <c r="G566" i="3" s="1" a="1"/>
  <c r="G566" i="3" s="1"/>
  <c r="E567" i="3"/>
  <c r="G567" i="3" s="1" a="1"/>
  <c r="G567" i="3" s="1"/>
  <c r="E568" i="3"/>
  <c r="G568" i="3" s="1" a="1"/>
  <c r="G568" i="3" s="1"/>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E254" i="3"/>
  <c r="G254" i="3" s="1" a="1"/>
  <c r="G254" i="3" s="1"/>
  <c r="F254" i="3"/>
  <c r="E569" i="3"/>
  <c r="G569" i="3" s="1" a="1"/>
  <c r="G569" i="3" s="1"/>
  <c r="E570" i="3"/>
  <c r="G570" i="3" s="1" a="1"/>
  <c r="G570" i="3" s="1"/>
  <c r="E571" i="3"/>
  <c r="G571" i="3" s="1" a="1"/>
  <c r="G571" i="3" s="1"/>
  <c r="E572" i="3"/>
  <c r="G572" i="3" s="1" a="1"/>
  <c r="G572" i="3" s="1"/>
  <c r="E573" i="3"/>
  <c r="G573" i="3" s="1" a="1"/>
  <c r="G573" i="3" s="1"/>
  <c r="E574" i="3"/>
  <c r="G574" i="3" s="1" a="1"/>
  <c r="G574" i="3" s="1"/>
  <c r="E575" i="3"/>
  <c r="G575" i="3" s="1" a="1"/>
  <c r="G575" i="3" s="1"/>
  <c r="E576" i="3"/>
  <c r="G576" i="3" s="1" a="1"/>
  <c r="G576" i="3" s="1"/>
  <c r="E577" i="3"/>
  <c r="G577" i="3" s="1" a="1"/>
  <c r="G577" i="3" s="1"/>
  <c r="E578" i="3"/>
  <c r="G578" i="3" s="1" a="1"/>
  <c r="G578" i="3" s="1"/>
  <c r="E579" i="3"/>
  <c r="G579" i="3" s="1" a="1"/>
  <c r="G579" i="3" s="1"/>
  <c r="E580" i="3"/>
  <c r="G580" i="3" s="1" a="1"/>
  <c r="G580" i="3" s="1"/>
  <c r="E581" i="3"/>
  <c r="G581" i="3" s="1" a="1"/>
  <c r="G581" i="3" s="1"/>
  <c r="E582" i="3"/>
  <c r="G582" i="3" s="1" a="1"/>
  <c r="G582" i="3" s="1"/>
  <c r="E583" i="3"/>
  <c r="G583" i="3" s="1" a="1"/>
  <c r="G583" i="3" s="1"/>
  <c r="E584" i="3"/>
  <c r="G584" i="3" s="1" a="1"/>
  <c r="G584" i="3" s="1"/>
  <c r="E585" i="3"/>
  <c r="G585" i="3" s="1" a="1"/>
  <c r="G585" i="3" s="1"/>
  <c r="E586" i="3"/>
  <c r="G586" i="3" s="1" a="1"/>
  <c r="G586" i="3" s="1"/>
  <c r="E587" i="3"/>
  <c r="G587" i="3" s="1" a="1"/>
  <c r="G587" i="3" s="1"/>
  <c r="E588" i="3"/>
  <c r="G588" i="3" s="1" a="1"/>
  <c r="G588" i="3" s="1"/>
  <c r="E589" i="3"/>
  <c r="G589" i="3" s="1" a="1"/>
  <c r="G589" i="3" s="1"/>
  <c r="E590" i="3"/>
  <c r="G590" i="3" s="1" a="1"/>
  <c r="G590" i="3" s="1"/>
  <c r="E591" i="3"/>
  <c r="G591" i="3" s="1" a="1"/>
  <c r="G591" i="3" s="1"/>
  <c r="E592" i="3"/>
  <c r="G592" i="3" s="1" a="1"/>
  <c r="G592" i="3" s="1"/>
  <c r="F569" i="3"/>
  <c r="F570" i="3"/>
  <c r="F571" i="3"/>
  <c r="F572" i="3"/>
  <c r="F573" i="3"/>
  <c r="F574" i="3"/>
  <c r="F575" i="3"/>
  <c r="F576" i="3"/>
  <c r="F577" i="3"/>
  <c r="F578" i="3"/>
  <c r="F579" i="3"/>
  <c r="F580" i="3"/>
  <c r="F581" i="3"/>
  <c r="F582" i="3"/>
  <c r="F583" i="3"/>
  <c r="F584" i="3"/>
  <c r="F585" i="3"/>
  <c r="F586" i="3"/>
  <c r="F587" i="3"/>
  <c r="F588" i="3"/>
  <c r="F589" i="3"/>
  <c r="F590" i="3"/>
  <c r="F591" i="3"/>
  <c r="F592" i="3"/>
  <c r="C12" i="5"/>
  <c r="D9" i="5"/>
  <c r="C9" i="5"/>
  <c r="B9"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8A4CC5-FE1A-4612-93BE-8926DB3ED5AD}" name="Query - EnergiaSolar" description="Connection to the 'EnergiaSolar' query in the workbook." type="100" refreshedVersion="8" minRefreshableVersion="5">
    <extLst>
      <ext xmlns:x15="http://schemas.microsoft.com/office/spreadsheetml/2010/11/main" uri="{DE250136-89BD-433C-8126-D09CA5730AF9}">
        <x15:connection id="995f9f66-037a-49d0-8f96-9797700776e2"/>
      </ext>
    </extLst>
  </connection>
  <connection id="2" xr16:uid="{0A2B9263-2251-40D3-9F88-994F7A9A7DF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2DD53E34-4243-4F48-8373-C35E4A6104DB}" name="WorksheetConnection_Monitoreo Producion Solar.xlsm!CostPerKwh" type="102" refreshedVersion="8" minRefreshableVersion="5">
    <extLst>
      <ext xmlns:x15="http://schemas.microsoft.com/office/spreadsheetml/2010/11/main" uri="{DE250136-89BD-433C-8126-D09CA5730AF9}">
        <x15:connection id="CostPerKwh">
          <x15:rangePr sourceName="_xlcn.WorksheetConnection_MonitoreoProducionSolar.xlsmCostPerKwh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<sst xmlns="http://schemas.openxmlformats.org/spreadsheetml/2006/main" count="60" uniqueCount="35">
  <si>
    <t>Producido</t>
  </si>
  <si>
    <t>Variante</t>
  </si>
  <si>
    <t>Dia</t>
  </si>
  <si>
    <t>Consumido</t>
  </si>
  <si>
    <t>Commentarios</t>
  </si>
  <si>
    <t>Comienso de Ciclo</t>
  </si>
  <si>
    <t>Instalacion nuevas placas</t>
  </si>
  <si>
    <t>Vaguada</t>
  </si>
  <si>
    <t>Ciclo</t>
  </si>
  <si>
    <t>Grand Total</t>
  </si>
  <si>
    <t>Sum of Producido</t>
  </si>
  <si>
    <t>Sum of Consumido</t>
  </si>
  <si>
    <t>Month Name</t>
  </si>
  <si>
    <t xml:space="preserve"> Producido </t>
  </si>
  <si>
    <t xml:space="preserve"> Consumido</t>
  </si>
  <si>
    <t>AveProduction</t>
  </si>
  <si>
    <t>AveCosumido</t>
  </si>
  <si>
    <t>MaxProducido</t>
  </si>
  <si>
    <t>MaxComsumido</t>
  </si>
  <si>
    <t>dias</t>
  </si>
  <si>
    <t>ComsumidoDevStandard</t>
  </si>
  <si>
    <t>ProducidoDevStandard</t>
  </si>
  <si>
    <t>Totoal</t>
  </si>
  <si>
    <t>Meta</t>
  </si>
  <si>
    <t>Pobre</t>
  </si>
  <si>
    <t>% Sobre el Consumo</t>
  </si>
  <si>
    <t>Precio Promedio Kwh</t>
  </si>
  <si>
    <t xml:space="preserve">Variante </t>
  </si>
  <si>
    <t>Variante en $</t>
  </si>
  <si>
    <t>Variante barra</t>
  </si>
  <si>
    <t>$</t>
  </si>
  <si>
    <t>Nombre de la cuenta</t>
  </si>
  <si>
    <t>Hector M Lorenzo</t>
  </si>
  <si>
    <t>January</t>
  </si>
  <si>
    <t>February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</si>
</sst>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m/d/yy;@"/>
  </numFmts>
  <fonts count="6" x14ac:knownFonts="1">
    <font>
      <sz val="11"/>
      <color theme="1"/>
      <name val="Calibri"/>
      <family val="2"/>
      <scheme val="minor"/>
    </font>
    <font>
      <sz val="11"/>
      <color theme="1"/>
      <name val="Calibri"/>
      <family val="2"/>
      <scheme val="minor"/>
    </font>
    <font>
      <b/>
      <sz val="11"/>
      <color theme="1"/>
      <name val="Calibri"/>
      <family val="2"/>
      <scheme val="minor"/>
    </font>
    <font>
      <sz val="22"/>
      <color theme="0" tint="-4.9989318521683403E-2"/>
      <name val="Calibri"/>
      <family val="2"/>
      <scheme val="minor"/>
    </font>
    <font>
      <b/>
      <sz val="11"/>
      <color theme="0" tint="-4.9989318521683403E-2"/>
      <name val="Calibri"/>
      <family val="2"/>
      <scheme val="minor"/>
    </font>
    <font>
      <sz val="10"/>
      <color theme="1"/>
      <name val="Calibri"/>
      <family val="2"/>
      <scheme val="minor"/>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tint="-0.249977111117893"/>
        <bgColor indexed="64"/>
      </patternFill>
    </fill>
    <fill>
      <patternFill patternType="solid">
        <fgColor rgb="FFE1772E"/>
        <bgColor indexed="64"/>
      </patternFill>
    </fill>
    <fill>
      <patternFill patternType="solid">
        <fgColor theme="9" tint="0.79998168889431442"/>
        <bgColor indexed="64"/>
      </patternFill>
    </fill>
    <fill>
      <patternFill patternType="solid">
        <fgColor theme="4" tint="-0.499984740745262"/>
        <bgColor indexed="64"/>
      </patternFill>
    </fill>
    <fill>
      <patternFill patternType="solid">
        <fgColor theme="0"/>
        <bgColor theme="4" tint="0.79998168889431442"/>
      </patternFill>
    </fill>
    <fill>
      <patternFill patternType="solid">
        <fgColor rgb="FFFFFF00"/>
        <bgColor indexed="64"/>
      </patternFill>
    </fill>
  </fills>
  <borders count="17">
    <border>
      <left/>
      <right/>
      <top/>
      <bottom/>
      <diagonal/>
    </border>
    <border>
      <left/>
      <right/>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65">
    <xf numFmtId="0" fontId="0" fillId="0" borderId="0" xfId="0"/>
    <xf numFmtId="2" fontId="0" fillId="0" borderId="0" xfId="0" applyNumberFormat="1"/>
    <xf numFmtId="14" fontId="0" fillId="0" borderId="0" xfId="0" applyNumberFormat="1"/>
    <xf numFmtId="43" fontId="0" fillId="0" borderId="0" xfId="2" applyFont="1"/>
    <xf numFmtId="43" fontId="0" fillId="0" borderId="0" xfId="0" applyNumberFormat="1"/>
    <xf numFmtId="40" fontId="0" fillId="0" borderId="0" xfId="2" applyNumberFormat="1" applyFont="1"/>
    <xf numFmtId="0" fontId="0" fillId="0" borderId="0" xfId="0" pivotButton="1"/>
    <xf numFmtId="0" fontId="2" fillId="2" borderId="1" xfId="0" applyFont="1" applyFill="1" applyBorder="1"/>
    <xf numFmtId="0" fontId="0" fillId="0" borderId="3" xfId="0" applyBorder="1"/>
    <xf numFmtId="0" fontId="0" fillId="0" borderId="4" xfId="0" applyBorder="1"/>
    <xf numFmtId="0" fontId="0" fillId="0" borderId="5" xfId="0" applyBorder="1"/>
    <xf numFmtId="164" fontId="0" fillId="0" borderId="0" xfId="0" applyNumberForma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43" fontId="0" fillId="0" borderId="12" xfId="0" applyNumberFormat="1" applyBorder="1"/>
    <xf numFmtId="43" fontId="0" fillId="0" borderId="13" xfId="0" applyNumberFormat="1" applyBorder="1"/>
    <xf numFmtId="43" fontId="0" fillId="0" borderId="6" xfId="0" applyNumberFormat="1" applyBorder="1"/>
    <xf numFmtId="43" fontId="0" fillId="0" borderId="7" xfId="0" applyNumberFormat="1" applyBorder="1"/>
    <xf numFmtId="43" fontId="0" fillId="0" borderId="8" xfId="0" applyNumberFormat="1" applyBorder="1"/>
    <xf numFmtId="43" fontId="0" fillId="0" borderId="11" xfId="0" applyNumberFormat="1" applyBorder="1"/>
    <xf numFmtId="0" fontId="0" fillId="0" borderId="2" xfId="0" pivotButton="1" applyBorder="1"/>
    <xf numFmtId="0" fontId="0" fillId="0" borderId="2" xfId="0" applyBorder="1"/>
    <xf numFmtId="0" fontId="0" fillId="0" borderId="0" xfId="0" applyAlignment="1">
      <alignment wrapText="1"/>
    </xf>
    <xf numFmtId="10" fontId="0" fillId="0" borderId="0" xfId="1" applyNumberFormat="1" applyFont="1" applyAlignment="1">
      <alignment horizontal="center"/>
    </xf>
    <xf numFmtId="0" fontId="2" fillId="2" borderId="1" xfId="0" applyFont="1" applyFill="1" applyBorder="1" applyAlignment="1">
      <alignment horizontal="center"/>
    </xf>
    <xf numFmtId="9" fontId="0" fillId="0" borderId="0" xfId="1" applyFont="1" applyAlignment="1">
      <alignment horizontal="center"/>
    </xf>
    <xf numFmtId="0" fontId="2" fillId="2" borderId="0" xfId="0" applyFont="1" applyFill="1"/>
    <xf numFmtId="10" fontId="0" fillId="6" borderId="2" xfId="1" applyNumberFormat="1" applyFont="1" applyFill="1" applyBorder="1" applyAlignment="1">
      <alignment horizontal="center"/>
    </xf>
    <xf numFmtId="0" fontId="2" fillId="2" borderId="0" xfId="0" applyFont="1" applyFill="1" applyAlignment="1">
      <alignment horizontal="right"/>
    </xf>
    <xf numFmtId="10" fontId="0" fillId="5" borderId="2" xfId="1" applyNumberFormat="1" applyFont="1" applyFill="1" applyBorder="1" applyAlignment="1"/>
    <xf numFmtId="0" fontId="2" fillId="7" borderId="0" xfId="0" applyFont="1" applyFill="1"/>
    <xf numFmtId="0" fontId="0" fillId="5" borderId="0" xfId="0" applyFill="1"/>
    <xf numFmtId="0" fontId="0" fillId="0" borderId="0" xfId="0" applyAlignment="1">
      <alignment horizontal="right"/>
    </xf>
    <xf numFmtId="0" fontId="0" fillId="8" borderId="14" xfId="0" applyFill="1" applyBorder="1" applyAlignment="1">
      <alignment horizontal="center"/>
    </xf>
    <xf numFmtId="0" fontId="0" fillId="0" borderId="8" xfId="0" applyBorder="1" applyAlignment="1">
      <alignment horizontal="center"/>
    </xf>
    <xf numFmtId="44" fontId="0" fillId="0" borderId="8" xfId="0" applyNumberFormat="1" applyBorder="1" applyAlignment="1">
      <alignment horizontal="center"/>
    </xf>
    <xf numFmtId="0" fontId="5" fillId="0" borderId="0" xfId="0" applyFont="1" applyAlignment="1">
      <alignment horizontal="center" vertical="center"/>
    </xf>
    <xf numFmtId="40" fontId="0" fillId="0" borderId="8" xfId="0" applyNumberFormat="1" applyBorder="1"/>
    <xf numFmtId="40" fontId="0" fillId="0" borderId="13" xfId="0" applyNumberFormat="1" applyBorder="1"/>
    <xf numFmtId="43" fontId="0" fillId="0" borderId="9" xfId="0" applyNumberFormat="1" applyBorder="1"/>
    <xf numFmtId="0" fontId="0" fillId="0" borderId="14" xfId="0" applyBorder="1"/>
    <xf numFmtId="0" fontId="0" fillId="0" borderId="15" xfId="0" applyBorder="1"/>
    <xf numFmtId="40" fontId="0" fillId="0" borderId="10" xfId="0" applyNumberFormat="1" applyBorder="1"/>
    <xf numFmtId="0" fontId="0" fillId="8" borderId="3" xfId="0" applyFill="1" applyBorder="1" applyAlignment="1">
      <alignment horizontal="center"/>
    </xf>
    <xf numFmtId="0" fontId="0" fillId="8" borderId="5" xfId="0" applyFill="1" applyBorder="1" applyAlignment="1">
      <alignment horizontal="center"/>
    </xf>
    <xf numFmtId="0" fontId="4" fillId="4" borderId="14" xfId="0" applyFont="1" applyFill="1" applyBorder="1" applyAlignment="1">
      <alignment horizontal="center" wrapText="1"/>
    </xf>
    <xf numFmtId="0" fontId="4" fillId="4" borderId="16" xfId="0" applyFont="1" applyFill="1" applyBorder="1" applyAlignment="1">
      <alignment horizontal="center" wrapText="1"/>
    </xf>
    <xf numFmtId="0" fontId="4" fillId="4" borderId="15" xfId="0" applyFont="1" applyFill="1" applyBorder="1" applyAlignment="1">
      <alignment horizontal="center" wrapText="1"/>
    </xf>
    <xf numFmtId="0" fontId="3" fillId="3" borderId="3" xfId="0" applyFont="1" applyFill="1" applyBorder="1" applyAlignment="1">
      <alignment horizontal="center"/>
    </xf>
    <xf numFmtId="0" fontId="3" fillId="3" borderId="4" xfId="0" applyFont="1" applyFill="1" applyBorder="1" applyAlignment="1">
      <alignment horizontal="center"/>
    </xf>
    <xf numFmtId="0" fontId="3" fillId="3" borderId="5" xfId="0" applyFont="1" applyFill="1" applyBorder="1" applyAlignment="1">
      <alignment horizontal="center"/>
    </xf>
    <xf numFmtId="0" fontId="4" fillId="3" borderId="16" xfId="0" applyFont="1" applyFill="1" applyBorder="1" applyAlignment="1">
      <alignment horizontal="center" wrapText="1"/>
    </xf>
    <xf numFmtId="0" fontId="4" fillId="3" borderId="15" xfId="0" applyFont="1" applyFill="1" applyBorder="1" applyAlignment="1">
      <alignment horizontal="center" wrapText="1"/>
    </xf>
    <xf numFmtId="0" fontId="4" fillId="3" borderId="14" xfId="0" applyFont="1" applyFill="1" applyBorder="1" applyAlignment="1">
      <alignment horizontal="center" wrapText="1"/>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0" fillId="0" borderId="0" xfId="0" applyNumberFormat="1"/>
    <xf numFmtId="43" fontId="0" fillId="0" borderId="0" xfId="0" applyNumberFormat="1" applyBorder="1"/>
  </cellXfs>
  <cellStyles count="3">
    <cellStyle name="Comma" xfId="2" builtinId="3"/>
    <cellStyle name="Normal" xfId="0" builtinId="0"/>
    <cellStyle name="Percent" xfId="1" builtinId="5"/>
  </cellStyles>
  <dxfs count="266">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8" formatCode="#,##0.00_);[Red]\(#,##0.00\)"/>
    </dxf>
    <dxf>
      <numFmt numFmtId="35" formatCode="_(* #,##0.00_);_(* \(#,##0.00\);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numFmt numFmtId="34" formatCode="_(&quot;$&quot;* #,##0.00_);_(&quot;$&quot;* \(#,##0.00\);_(&quot;$&quot;* &quot;-&quot;??_);_(@_)"/>
    </dxf>
    <dxf>
      <alignment horizontal="center"/>
    </dxf>
    <dxf>
      <numFmt numFmtId="164" formatCode="m/d/yy;@"/>
    </dxf>
    <dxf>
      <numFmt numFmtId="35" formatCode="_(* #,##0.00_);_(* \(#,##0.00\);_(* &quot;-&quot;??_);_(@_)"/>
    </dxf>
    <dxf>
      <numFmt numFmtId="8" formatCode="#,##0.00_);[Red]\(#,##0.00\)"/>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35" formatCode="_(* #,##0.00_);_(* \(#,##0.00\);_(* &quot;-&quot;??_);_(@_)"/>
    </dxf>
    <dxf>
      <alignment horizontal="center"/>
    </dxf>
    <dxf>
      <numFmt numFmtId="34" formatCode="_(&quot;$&quot;* #,##0.00_);_(&quot;$&quot;* \(#,##0.00\);_(&quot;$&quot;* &quot;-&quot;??_);_(@_)"/>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35" formatCode="_(* #,##0.00_);_(* \(#,##0.00\);_(* &quot;-&quot;??_);_(@_)"/>
    </dxf>
    <dxf>
      <fill>
        <patternFill patternType="solid">
          <fgColor indexed="64"/>
          <bgColor rgb="FFFFFF00"/>
        </patternFill>
      </fill>
      <alignment horizontal="center" vertical="bottom" textRotation="0" wrapText="0" indent="0" justifyLastLine="0" shrinkToFit="0" readingOrder="0"/>
      <border diagonalUp="0" diagonalDown="0">
        <left style="medium">
          <color indexed="64"/>
        </left>
        <right style="medium">
          <color indexed="64"/>
        </right>
        <top style="medium">
          <color indexed="64"/>
        </top>
        <bottom/>
        <vertical/>
        <horizontal/>
      </border>
    </dxf>
    <dxf>
      <border outline="0">
        <bottom style="medium">
          <color indexed="64"/>
        </bottom>
      </border>
    </dxf>
    <dxf>
      <fill>
        <patternFill patternType="solid">
          <fgColor indexed="64"/>
          <bgColor rgb="FFFFFF00"/>
        </patternFill>
      </fill>
      <alignment horizontal="center"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8" formatCode="#,##0.00_);[Red]\(#,##0.00\)"/>
    </dxf>
    <dxf>
      <font>
        <b val="0"/>
        <i val="0"/>
        <strike val="0"/>
        <condense val="0"/>
        <extend val="0"/>
        <outline val="0"/>
        <shadow val="0"/>
        <u val="none"/>
        <vertAlign val="baseline"/>
        <sz val="11"/>
        <color theme="1"/>
        <name val="Calibri"/>
        <family val="2"/>
        <scheme val="minor"/>
      </font>
      <numFmt numFmtId="8" formatCode="#,##0.00_);[Red]\(#,##0.00\)"/>
    </dxf>
    <dxf>
      <font>
        <b val="0"/>
        <i val="0"/>
        <strike val="0"/>
        <condense val="0"/>
        <extend val="0"/>
        <outline val="0"/>
        <shadow val="0"/>
        <u val="none"/>
        <vertAlign val="baseline"/>
        <sz val="11"/>
        <color theme="1"/>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35" formatCode="_(* #,##0.00_);_(* \(#,##0.00\);_(* &quot;-&quot;??_);_(@_)"/>
    </dxf>
    <dxf>
      <numFmt numFmtId="0" formatCode="General"/>
    </dxf>
    <dxf>
      <numFmt numFmtId="19" formatCode="m/d/yyyy"/>
    </dxf>
  </dxfs>
  <tableStyles count="0" defaultTableStyle="TableStyleMedium2" defaultPivotStyle="PivotStyleLight16"/>
  <colors>
    <mruColors>
      <color rgb="FFE1772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openxmlformats.org/officeDocument/2006/relationships/styles" Target="style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powerPivotData" Target="model/item.data"/><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pivotCacheDefinition" Target="pivotCache/pivotCacheDefinition2.xml"/><Relationship Id="rId15" Type="http://schemas.microsoft.com/office/2007/relationships/slicerCache" Target="slicerCaches/slicerCache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7.xml"/><Relationship Id="rId19" Type="http://schemas.openxmlformats.org/officeDocument/2006/relationships/sharedStrings" Target="sharedString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4.xml"/><Relationship Id="rId22" Type="http://schemas.microsoft.com/office/2017/10/relationships/person" Target="persons/person.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microsoft.com/office/2006/relationships/vbaProject" Target="vbaProject.bin"/><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microsoft.com/office/2007/relationships/slicerCache" Target="slicerCaches/slicerCache2.xml"/><Relationship Id="rId17" Type="http://schemas.openxmlformats.org/officeDocument/2006/relationships/connections" Target="connections.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eetMetadata" Target="metadata.xml"/><Relationship Id="rId41"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[Monitoreo Producion Solar.xlsm]PivotDataChat!PivotTable5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PivotDataChat!$B$2</c:f>
              <c:strCache>
                <c:ptCount val="1"/>
                <c:pt idx="0">
                  <c:v>Producido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PivotDataChat!$B$3</c:f>
              <c:strCache>
                <c:ptCount val="1"/>
                <c:pt idx="0">
                  <c:v>Total</c:v>
                </c:pt>
              </c:strCache>
            </c:strRef>
          </c:cat>
          <c:val>
            <c:numRef>
              <c:f>PivotDataChat!$B$3</c:f>
              <c:numCache>
                <c:formatCode>_(* #,##0.00_);_(* \(#,##0.00\);_(* "-"??_);_(@_)</c:formatCode>
                <c:ptCount val="1"/>
                <c:pt idx="0">
                  <c:v>636.1</c:v>
                </c:pt>
              </c:numCache>
            </c:numRef>
          </c:val>
          <c:extLst>
            <c:ext xmlns:c16="http://schemas.microsoft.com/office/drawing/2014/chart" uri="{C3380CC4-5D6E-409C-BE32-E72D297353CC}">
              <c16:uniqueId val="{00000000-D5B3-47F8-A908-B79B6380B3D7}"/>
            </c:ext>
          </c:extLst>
        </c:ser>
        <c:ser>
          <c:idx val="1"/>
          <c:order val="1"/>
          <c:tx>
            <c:strRef>
              <c:f>PivotDataChat!$C$2</c:f>
              <c:strCache>
                <c:ptCount val="1"/>
                <c:pt idx="0">
                  <c:v>Consumido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PivotDataChat!$B$3</c:f>
              <c:strCache>
                <c:ptCount val="1"/>
                <c:pt idx="0">
                  <c:v>Total</c:v>
                </c:pt>
              </c:strCache>
            </c:strRef>
          </c:cat>
          <c:val>
            <c:numRef>
              <c:f>PivotDataChat!$C$3</c:f>
              <c:numCache>
                <c:formatCode>_(* #,##0.00_);_(* \(#,##0.00\);_(* "-"??_);_(@_)</c:formatCode>
                <c:ptCount val="1"/>
                <c:pt idx="0">
                  <c:v>453.69999999999993</c:v>
                </c:pt>
              </c:numCache>
            </c:numRef>
          </c:val>
          <c:extLst>
            <c:ext xmlns:c16="http://schemas.microsoft.com/office/drawing/2014/chart" uri="{C3380CC4-5D6E-409C-BE32-E72D297353CC}">
              <c16:uniqueId val="{00000001-D5B3-47F8-A908-B79B6380B3D7}"/>
            </c:ext>
          </c:extLst>
        </c:ser>
        <c:ser>
          <c:idx val="2"/>
          <c:order val="2"/>
          <c:tx>
            <c:strRef>
              <c:f>PivotDataChat!$D$2</c:f>
              <c:strCache>
                <c:ptCount val="1"/>
                <c:pt idx="0">
                  <c:v>Variante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PivotDataChat!$B$3</c:f>
              <c:strCache>
                <c:ptCount val="1"/>
                <c:pt idx="0">
                  <c:v>Total</c:v>
                </c:pt>
              </c:strCache>
            </c:strRef>
          </c:cat>
          <c:val>
            <c:numRef>
              <c:f>PivotDataChat!$D$3</c:f>
              <c:numCache>
                <c:formatCode>_(* #,##0.00_);_(* \(#,##0.00\);_(* "-"??_);_(@_)</c:formatCode>
                <c:ptCount val="1"/>
                <c:pt idx="0">
                  <c:v>182.39999999999995</c:v>
                </c:pt>
              </c:numCache>
            </c:numRef>
          </c:val>
          <c:extLst>
            <c:ext xmlns:c16="http://schemas.microsoft.com/office/drawing/2014/chart" uri="{C3380CC4-5D6E-409C-BE32-E72D297353CC}">
              <c16:uniqueId val="{00000002-A0E4-45F9-B514-8C178AAAE889}"/>
            </c:ext>
          </c:extLst>
        </c:ser>
        <c:dLbls>
          <c:showLegendKey val="0"/>
          <c:showVal val="1"/>
          <c:showCatName val="0"/>
          <c:showSerName val="0"/>
          <c:showPercent val="0"/>
          <c:showBubbleSize val="0"/>
        </c:dLbls>
        <c:gapWidth val="219"/>
        <c:overlap val="-27"/>
        <c:axId val="1227002112"/>
        <c:axId val="176251120"/>
      </c:barChart>
      <c:catAx>
        <c:axId val="1227002112"/>
        <c:scaling>
          <c:orientation val="minMax"/>
        </c:scaling>
        <c:delete val="1"/>
        <c:axPos val="b"/>
        <c:numFmt formatCode="General" sourceLinked="1"/>
        <c:majorTickMark val="none"/>
        <c:minorTickMark val="none"/>
        <c:tickLblPos val="nextTo"/>
        <c:crossAx val="176251120"/>
        <c:crosses val="autoZero"/>
        <c:auto val="1"/>
        <c:lblAlgn val="ctr"/>
        <c:lblOffset val="100"/>
        <c:noMultiLvlLbl val="0"/>
      </c:catAx>
      <c:valAx>
        <c:axId val="176251120"/>
        <c:scaling>
          <c:orientation val="minMax"/>
        </c:scaling>
        <c:delete val="1"/>
        <c:axPos val="l"/>
        <c:numFmt formatCode="_(* #,##0.00_);_(* \(#,##0.00\);_(* &quot;-&quot;??_);_(@_)" sourceLinked="1"/>
        <c:majorTickMark val="none"/>
        <c:minorTickMark val="none"/>
        <c:tickLblPos val="nextTo"/>
        <c:crossAx val="1227002112"/>
        <c:crosses val="autoZero"/>
        <c:crossBetween val="between"/>
      </c:valAx>
      <c:spPr>
        <a:noFill/>
        <a:ln>
          <a:noFill/>
        </a:ln>
        <a:effectLst/>
      </c:spPr>
    </c:plotArea>
    <c:legend>
      <c:legendPos val="t"/>
      <c:layout>
        <c:manualLayout>
          <c:xMode val="edge"/>
          <c:yMode val="edge"/>
          <c:x val="1.0948510723162221E-2"/>
          <c:y val="6.8571428571428575E-2"/>
          <c:w val="0.76502984887062564"/>
          <c:h val="0.127715642386189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[Monitoreo Producion Solar.xlsm]PivotDataChat!PivotTable6</c:name>
    <c:fmtId val="7"/>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US"/>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537031548285613E-2"/>
          <c:y val="4.4555974359743088E-2"/>
          <c:w val="0.94945005150765049"/>
          <c:h val="0.54809876436108906"/>
        </c:manualLayout>
      </c:layout>
      <c:lineChart>
        <c:grouping val="standard"/>
        <c:varyColors val="0"/>
        <c:ser>
          <c:idx val="0"/>
          <c:order val="0"/>
          <c:tx>
            <c:strRef>
              <c:f>PivotDataChat!$H$2</c:f>
              <c:strCache>
                <c:ptCount val="1"/>
                <c:pt idx="0">
                  <c:v>Producido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PivotDataChat!$G$3:$G$21</c:f>
              <c:strCache>
                <c:ptCount val="18"/>
                <c:pt idx="0">
                  <c:v>1/13/2024</c:v>
                </c:pt>
                <c:pt idx="1">
                  <c:v>1/14/2024</c:v>
                </c:pt>
                <c:pt idx="2">
                  <c:v>1/15/2024</c:v>
                </c:pt>
                <c:pt idx="3">
                  <c:v>1/16/2024</c:v>
                </c:pt>
                <c:pt idx="4">
                  <c:v>1/17/2024</c:v>
                </c:pt>
                <c:pt idx="5">
                  <c:v>1/18/2024</c:v>
                </c:pt>
                <c:pt idx="6">
                  <c:v>1/19/2024</c:v>
                </c:pt>
                <c:pt idx="7">
                  <c:v>1/20/2024</c:v>
                </c:pt>
                <c:pt idx="8">
                  <c:v>1/21/2024</c:v>
                </c:pt>
                <c:pt idx="9">
                  <c:v>1/22/2024</c:v>
                </c:pt>
                <c:pt idx="10">
                  <c:v>1/23/2024</c:v>
                </c:pt>
                <c:pt idx="11">
                  <c:v>1/24/2024</c:v>
                </c:pt>
                <c:pt idx="12">
                  <c:v>1/25/2024</c:v>
                </c:pt>
                <c:pt idx="13">
                  <c:v>1/26/2024</c:v>
                </c:pt>
                <c:pt idx="14">
                  <c:v>1/27/2024</c:v>
                </c:pt>
                <c:pt idx="15">
                  <c:v>1/28/2024</c:v>
                </c:pt>
                <c:pt idx="16">
                  <c:v>1/29/2024</c:v>
                </c:pt>
                <c:pt idx="17">
                  <c:v>1/30/2024</c:v>
                </c:pt>
              </c:strCache>
            </c:strRef>
          </c:cat>
          <c:val>
            <c:numRef>
              <c:f>PivotDataChat!$H$3:$H$21</c:f>
              <c:numCache>
                <c:formatCode>General</c:formatCode>
                <c:ptCount val="18"/>
                <c:pt idx="0">
                  <c:v>32.5</c:v>
                </c:pt>
                <c:pt idx="1">
                  <c:v>34.9</c:v>
                </c:pt>
                <c:pt idx="2">
                  <c:v>26.3</c:v>
                </c:pt>
                <c:pt idx="3">
                  <c:v>29.3</c:v>
                </c:pt>
                <c:pt idx="4">
                  <c:v>32.9</c:v>
                </c:pt>
                <c:pt idx="5">
                  <c:v>36.4</c:v>
                </c:pt>
                <c:pt idx="6">
                  <c:v>32.6</c:v>
                </c:pt>
                <c:pt idx="7">
                  <c:v>40.5</c:v>
                </c:pt>
                <c:pt idx="8">
                  <c:v>42.1</c:v>
                </c:pt>
                <c:pt idx="9">
                  <c:v>40.700000000000003</c:v>
                </c:pt>
                <c:pt idx="10">
                  <c:v>43</c:v>
                </c:pt>
                <c:pt idx="11">
                  <c:v>26.3</c:v>
                </c:pt>
                <c:pt idx="12">
                  <c:v>30.9</c:v>
                </c:pt>
                <c:pt idx="13">
                  <c:v>40.299999999999997</c:v>
                </c:pt>
                <c:pt idx="14">
                  <c:v>39</c:v>
                </c:pt>
                <c:pt idx="15">
                  <c:v>34</c:v>
                </c:pt>
                <c:pt idx="16">
                  <c:v>43.3</c:v>
                </c:pt>
                <c:pt idx="17">
                  <c:v>31.1</c:v>
                </c:pt>
              </c:numCache>
            </c:numRef>
          </c:val>
          <c:smooth val="0"/>
          <c:extLst>
            <c:ext xmlns:c16="http://schemas.microsoft.com/office/drawing/2014/chart" uri="{C3380CC4-5D6E-409C-BE32-E72D297353CC}">
              <c16:uniqueId val="{00000003-AEEB-4AE0-A725-9E76155EDE56}"/>
            </c:ext>
          </c:extLst>
        </c:ser>
        <c:ser>
          <c:idx val="1"/>
          <c:order val="1"/>
          <c:tx>
            <c:strRef>
              <c:f>PivotDataChat!$I$2</c:f>
              <c:strCache>
                <c:ptCount val="1"/>
                <c:pt idx="0">
                  <c:v>Consumido</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PivotDataChat!$G$3:$G$21</c:f>
              <c:strCache>
                <c:ptCount val="18"/>
                <c:pt idx="0">
                  <c:v>1/13/2024</c:v>
                </c:pt>
                <c:pt idx="1">
                  <c:v>1/14/2024</c:v>
                </c:pt>
                <c:pt idx="2">
                  <c:v>1/15/2024</c:v>
                </c:pt>
                <c:pt idx="3">
                  <c:v>1/16/2024</c:v>
                </c:pt>
                <c:pt idx="4">
                  <c:v>1/17/2024</c:v>
                </c:pt>
                <c:pt idx="5">
                  <c:v>1/18/2024</c:v>
                </c:pt>
                <c:pt idx="6">
                  <c:v>1/19/2024</c:v>
                </c:pt>
                <c:pt idx="7">
                  <c:v>1/20/2024</c:v>
                </c:pt>
                <c:pt idx="8">
                  <c:v>1/21/2024</c:v>
                </c:pt>
                <c:pt idx="9">
                  <c:v>1/22/2024</c:v>
                </c:pt>
                <c:pt idx="10">
                  <c:v>1/23/2024</c:v>
                </c:pt>
                <c:pt idx="11">
                  <c:v>1/24/2024</c:v>
                </c:pt>
                <c:pt idx="12">
                  <c:v>1/25/2024</c:v>
                </c:pt>
                <c:pt idx="13">
                  <c:v>1/26/2024</c:v>
                </c:pt>
                <c:pt idx="14">
                  <c:v>1/27/2024</c:v>
                </c:pt>
                <c:pt idx="15">
                  <c:v>1/28/2024</c:v>
                </c:pt>
                <c:pt idx="16">
                  <c:v>1/29/2024</c:v>
                </c:pt>
                <c:pt idx="17">
                  <c:v>1/30/2024</c:v>
                </c:pt>
              </c:strCache>
            </c:strRef>
          </c:cat>
          <c:val>
            <c:numRef>
              <c:f>PivotDataChat!$I$3:$I$21</c:f>
              <c:numCache>
                <c:formatCode>General</c:formatCode>
                <c:ptCount val="18"/>
                <c:pt idx="0">
                  <c:v>28.3</c:v>
                </c:pt>
                <c:pt idx="1">
                  <c:v>37.9</c:v>
                </c:pt>
                <c:pt idx="2">
                  <c:v>27.4</c:v>
                </c:pt>
                <c:pt idx="3">
                  <c:v>25.4</c:v>
                </c:pt>
                <c:pt idx="4">
                  <c:v>19.3</c:v>
                </c:pt>
                <c:pt idx="5">
                  <c:v>20</c:v>
                </c:pt>
                <c:pt idx="6">
                  <c:v>19.899999999999999</c:v>
                </c:pt>
                <c:pt idx="7">
                  <c:v>22.6</c:v>
                </c:pt>
                <c:pt idx="8">
                  <c:v>24.5</c:v>
                </c:pt>
                <c:pt idx="9">
                  <c:v>20.2</c:v>
                </c:pt>
                <c:pt idx="10">
                  <c:v>19.399999999999999</c:v>
                </c:pt>
                <c:pt idx="11">
                  <c:v>23.8</c:v>
                </c:pt>
                <c:pt idx="12">
                  <c:v>30.9</c:v>
                </c:pt>
                <c:pt idx="13">
                  <c:v>25.8</c:v>
                </c:pt>
                <c:pt idx="14">
                  <c:v>30.9</c:v>
                </c:pt>
                <c:pt idx="15">
                  <c:v>30.4</c:v>
                </c:pt>
                <c:pt idx="16">
                  <c:v>23.5</c:v>
                </c:pt>
                <c:pt idx="17">
                  <c:v>23.5</c:v>
                </c:pt>
              </c:numCache>
            </c:numRef>
          </c:val>
          <c:smooth val="0"/>
          <c:extLst>
            <c:ext xmlns:c16="http://schemas.microsoft.com/office/drawing/2014/chart" uri="{C3380CC4-5D6E-409C-BE32-E72D297353CC}">
              <c16:uniqueId val="{00000004-AEEB-4AE0-A725-9E76155EDE56}"/>
            </c:ext>
          </c:extLst>
        </c:ser>
        <c:dLbls>
          <c:showLegendKey val="0"/>
          <c:showVal val="0"/>
          <c:showCatName val="0"/>
          <c:showSerName val="0"/>
          <c:showPercent val="0"/>
          <c:showBubbleSize val="0"/>
        </c:dLbls>
        <c:marker val="1"/>
        <c:smooth val="0"/>
        <c:axId val="1226992512"/>
        <c:axId val="480143295"/>
      </c:lineChart>
      <c:catAx>
        <c:axId val="12269925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480143295"/>
        <c:crosses val="autoZero"/>
        <c:auto val="1"/>
        <c:lblAlgn val="ctr"/>
        <c:lblOffset val="1000"/>
        <c:noMultiLvlLbl val="0"/>
      </c:catAx>
      <c:valAx>
        <c:axId val="480143295"/>
        <c:scaling>
          <c:orientation val="minMax"/>
          <c:max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22699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s-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s-US" sz="1200" b="1"/>
              <a:t>Desviasión Estandar</a:t>
            </a:r>
          </a:p>
        </c:rich>
      </c:tx>
      <c:layout>
        <c:manualLayout>
          <c:xMode val="edge"/>
          <c:yMode val="edge"/>
          <c:x val="0.37292584454184108"/>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s-US"/>
        </a:p>
      </c:txPr>
    </c:title>
    <c:autoTitleDeleted val="0"/>
    <c:plotArea>
      <c:layout>
        <c:manualLayout>
          <c:layoutTarget val="inner"/>
          <c:xMode val="edge"/>
          <c:yMode val="edge"/>
          <c:x val="0.24725102517254427"/>
          <c:y val="0.19351662604972408"/>
          <c:w val="0.67338188665496113"/>
          <c:h val="0.58982410388780981"/>
        </c:manualLayout>
      </c:layout>
      <c:barChart>
        <c:barDir val="bar"/>
        <c:grouping val="clustered"/>
        <c:varyColors val="1"/>
        <c:ser>
          <c:idx val="0"/>
          <c:order val="0"/>
          <c:invertIfNegative val="0"/>
          <c:dPt>
            <c:idx val="0"/>
            <c:invertIfNegative val="0"/>
            <c:bubble3D val="0"/>
            <c:spPr>
              <a:solidFill>
                <a:srgbClr val="E1772E"/>
              </a:solidFill>
              <a:ln>
                <a:noFill/>
              </a:ln>
              <a:effectLst/>
            </c:spPr>
            <c:extLst>
              <c:ext xmlns:c16="http://schemas.microsoft.com/office/drawing/2014/chart" uri="{C3380CC4-5D6E-409C-BE32-E72D297353CC}">
                <c16:uniqueId val="{00000001-2085-4B64-8849-674BE8C4B90C}"/>
              </c:ext>
            </c:extLst>
          </c:dPt>
          <c:dPt>
            <c:idx val="1"/>
            <c:invertIfNegative val="0"/>
            <c:bubble3D val="0"/>
            <c:spPr>
              <a:solidFill>
                <a:srgbClr val="0070C0"/>
              </a:solidFill>
              <a:ln>
                <a:noFill/>
              </a:ln>
              <a:effectLst/>
            </c:spPr>
            <c:extLst>
              <c:ext xmlns:c16="http://schemas.microsoft.com/office/drawing/2014/chart" uri="{C3380CC4-5D6E-409C-BE32-E72D297353CC}">
                <c16:uniqueId val="{00000003-4101-416F-AEB5-91214A21BDB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3-F9C6-4780-B173-36C7D4EE8740}"/>
              </c:ext>
            </c:extLst>
          </c:dPt>
          <c:dLbls>
            <c:dLbl>
              <c:idx val="2"/>
              <c:tx>
                <c:rich>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fld id="{9E0EEDAE-D4C0-4403-A7F4-847D7C9632FE}" type="VALUE">
                      <a:rPr lang="en-US">
                        <a:solidFill>
                          <a:schemeClr val="tx1"/>
                        </a:solidFill>
                      </a:rPr>
                      <a:pPr>
                        <a:defRPr b="1">
                          <a:solidFill>
                            <a:schemeClr val="tx1"/>
                          </a:solidFill>
                        </a:defRPr>
                      </a:pPr>
                      <a:t>[VALUE]</a:t>
                    </a:fld>
                    <a:endParaRPr lang="es-US"/>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s-US"/>
                </a:p>
              </c:txPr>
              <c:dLblPos val="inBase"/>
              <c:showLegendKey val="0"/>
              <c:showVal val="1"/>
              <c:showCatName val="0"/>
              <c:showSerName val="0"/>
              <c:showPercent val="0"/>
              <c:showBubbleSize val="0"/>
              <c:extLst>
                <c:ext xmlns:c15="http://schemas.microsoft.com/office/drawing/2012/chart" uri="{CE6537A1-D6FC-4f65-9D91-7224C49458BB}">
                  <c15:layout>
                    <c:manualLayout>
                      <c:w val="0.14463221436957083"/>
                      <c:h val="0.15229765423207367"/>
                    </c:manualLayout>
                  </c15:layout>
                  <c15:dlblFieldTable/>
                  <c15:showDataLabelsRange val="0"/>
                </c:ext>
                <c:ext xmlns:c16="http://schemas.microsoft.com/office/drawing/2014/chart" uri="{C3380CC4-5D6E-409C-BE32-E72D297353CC}">
                  <c16:uniqueId val="{00000003-F9C6-4780-B173-36C7D4EE874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PivotDataChat!$D$8:$F$8</c:f>
              <c:strCache>
                <c:ptCount val="3"/>
                <c:pt idx="0">
                  <c:v>Consumido</c:v>
                </c:pt>
                <c:pt idx="1">
                  <c:v>Producido</c:v>
                </c:pt>
                <c:pt idx="2">
                  <c:v>Variante</c:v>
                </c:pt>
              </c:strCache>
            </c:strRef>
          </c:cat>
          <c:val>
            <c:numRef>
              <c:f>PivotDataChat!$D$9:$F$9</c:f>
              <c:numCache>
                <c:formatCode>0.00</c:formatCode>
                <c:ptCount val="3"/>
                <c:pt idx="0">
                  <c:v>4.897445164144508</c:v>
                </c:pt>
                <c:pt idx="1">
                  <c:v>5.3920866800740326</c:v>
                </c:pt>
                <c:pt idx="2">
                  <c:v>10.133333333333338</c:v>
                </c:pt>
              </c:numCache>
            </c:numRef>
          </c:val>
          <c:extLst>
            <c:ext xmlns:c16="http://schemas.microsoft.com/office/drawing/2014/chart" uri="{C3380CC4-5D6E-409C-BE32-E72D297353CC}">
              <c16:uniqueId val="{00000002-2085-4B64-8849-674BE8C4B90C}"/>
            </c:ext>
          </c:extLst>
        </c:ser>
        <c:dLbls>
          <c:showLegendKey val="0"/>
          <c:showVal val="0"/>
          <c:showCatName val="0"/>
          <c:showSerName val="0"/>
          <c:showPercent val="0"/>
          <c:showBubbleSize val="0"/>
        </c:dLbls>
        <c:gapWidth val="182"/>
        <c:overlap val="-30"/>
        <c:axId val="1128612431"/>
        <c:axId val="374807871"/>
      </c:barChart>
      <c:catAx>
        <c:axId val="1128612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US"/>
          </a:p>
        </c:txPr>
        <c:crossAx val="374807871"/>
        <c:crosses val="autoZero"/>
        <c:auto val="1"/>
        <c:lblAlgn val="ctr"/>
        <c:lblOffset val="100"/>
        <c:noMultiLvlLbl val="0"/>
      </c:catAx>
      <c:valAx>
        <c:axId val="374807871"/>
        <c:scaling>
          <c:orientation val="minMax"/>
          <c:max val="7"/>
          <c:min val="0"/>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US"/>
          </a:p>
        </c:txPr>
        <c:crossAx val="1128612431"/>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_xlchart.v1.0</cx:f>
      </cx:strDim>
      <cx:numDim type="size">
        <cx:f dir="row">_xlchart.v1.1</cx:f>
      </cx:numDim>
    </cx:data>
  </cx:chartData>
  <cx:chart>
    <cx:plotArea>
      <cx:plotAreaRegion>
        <cx:series layoutId="sunburst" uniqueId="{DF950CAC-2982-4C11-8865-4884CFE8105B}">
          <cx:dataId val="0"/>
        </cx:series>
      </cx:plotAreaRegion>
    </cx:plotArea>
    <cx:legend pos="b"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85">
  <cs:axisTitle>
    <cs:lnRef idx="0"/>
    <cs:fillRef idx="0"/>
    <cs:effectRef idx="0"/>
    <cs:fontRef idx="minor">
      <a:schemeClr val="tx2"/>
    </cs:fontRef>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180975</xdr:colOff>
      <xdr:row>0</xdr:row>
      <xdr:rowOff>85726</xdr:rowOff>
    </xdr:from>
    <xdr:to>
      <xdr:col>2</xdr:col>
      <xdr:colOff>685800</xdr:colOff>
      <xdr:row>0</xdr:row>
      <xdr:rowOff>342900</xdr:rowOff>
    </xdr:to>
    <xdr:sp macro="[0]!VolverDashboard" textlink="">
      <xdr:nvSpPr>
        <xdr:cNvPr id="2" name="Rectangle: Rounded Corners 1">
          <a:extLst>
            <a:ext uri="{FF2B5EF4-FFF2-40B4-BE49-F238E27FC236}">
              <a16:creationId xmlns:a16="http://schemas.microsoft.com/office/drawing/2014/main" id="{3B52A554-87BF-CE18-3031-703AD6B8194C}"/>
            </a:ext>
          </a:extLst>
        </xdr:cNvPr>
        <xdr:cNvSpPr/>
      </xdr:nvSpPr>
      <xdr:spPr>
        <a:xfrm>
          <a:off x="180975" y="85726"/>
          <a:ext cx="1933575" cy="25717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US" sz="1100"/>
            <a:t>Update</a:t>
          </a:r>
          <a:r>
            <a:rPr lang="es-US" sz="1100" baseline="0"/>
            <a:t> Dashboard</a:t>
          </a:r>
          <a:endParaRPr lang="es-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114298</xdr:colOff>
      <xdr:row>7</xdr:row>
      <xdr:rowOff>95250</xdr:rowOff>
    </xdr:from>
    <xdr:to>
      <xdr:col>6</xdr:col>
      <xdr:colOff>19049</xdr:colOff>
      <xdr:row>20</xdr:row>
      <xdr:rowOff>28575</xdr:rowOff>
    </xdr:to>
    <mc:AlternateContent xmlns:mc="http://schemas.openxmlformats.org/markup-compatibility/2006" xmlns:a14="http://schemas.microsoft.com/office/drawing/2010/main">
      <mc:Choice Requires="a14">
        <xdr:graphicFrame macro="">
          <xdr:nvGraphicFramePr>
            <xdr:cNvPr id="2" name="Month Name">
              <a:extLst>
                <a:ext uri="{FF2B5EF4-FFF2-40B4-BE49-F238E27FC236}">
                  <a16:creationId xmlns:a16="http://schemas.microsoft.com/office/drawing/2014/main" id="{12DA0CCA-E612-48A9-AB4B-268FE42064CF}"/>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238123" y="1323975"/>
              <a:ext cx="2457451" cy="2190749"/>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149087</xdr:colOff>
      <xdr:row>3</xdr:row>
      <xdr:rowOff>66673</xdr:rowOff>
    </xdr:from>
    <xdr:to>
      <xdr:col>10</xdr:col>
      <xdr:colOff>99392</xdr:colOff>
      <xdr:row>11</xdr:row>
      <xdr:rowOff>41413</xdr:rowOff>
    </xdr:to>
    <mc:AlternateContent xmlns:mc="http://schemas.openxmlformats.org/markup-compatibility/2006" xmlns:a14="http://schemas.microsoft.com/office/drawing/2010/main">
      <mc:Choice Requires="a14">
        <xdr:graphicFrame macro="">
          <xdr:nvGraphicFramePr>
            <xdr:cNvPr id="3" name="Ciclo">
              <a:extLst>
                <a:ext uri="{FF2B5EF4-FFF2-40B4-BE49-F238E27FC236}">
                  <a16:creationId xmlns:a16="http://schemas.microsoft.com/office/drawing/2014/main" id="{806313DB-9941-41EB-A407-5520BD4C05B3}"/>
                </a:ext>
              </a:extLst>
            </xdr:cNvPr>
            <xdr:cNvGraphicFramePr/>
          </xdr:nvGraphicFramePr>
          <xdr:xfrm>
            <a:off x="0" y="0"/>
            <a:ext cx="0" cy="0"/>
          </xdr:xfrm>
          <a:graphic>
            <a:graphicData uri="http://schemas.microsoft.com/office/drawing/2010/slicer">
              <sle:slicer xmlns:sle="http://schemas.microsoft.com/office/drawing/2010/slicer" name="Ciclo"/>
            </a:graphicData>
          </a:graphic>
        </xdr:graphicFrame>
      </mc:Choice>
      <mc:Fallback xmlns="">
        <xdr:sp macro="" textlink="">
          <xdr:nvSpPr>
            <xdr:cNvPr id="0" name=""/>
            <xdr:cNvSpPr>
              <a:spLocks noTextEdit="1"/>
            </xdr:cNvSpPr>
          </xdr:nvSpPr>
          <xdr:spPr>
            <a:xfrm>
              <a:off x="2853773" y="679587"/>
              <a:ext cx="2405684" cy="930138"/>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3</xdr:row>
      <xdr:rowOff>57150</xdr:rowOff>
    </xdr:from>
    <xdr:to>
      <xdr:col>6</xdr:col>
      <xdr:colOff>19050</xdr:colOff>
      <xdr:row>7</xdr:row>
      <xdr:rowOff>76200</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9F7037E0-4E47-A4BB-D966-C2AA910D433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38125" y="666750"/>
              <a:ext cx="2457450" cy="638175"/>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19052</xdr:colOff>
      <xdr:row>21</xdr:row>
      <xdr:rowOff>0</xdr:rowOff>
    </xdr:from>
    <xdr:to>
      <xdr:col>6</xdr:col>
      <xdr:colOff>228600</xdr:colOff>
      <xdr:row>30</xdr:row>
      <xdr:rowOff>38099</xdr:rowOff>
    </xdr:to>
    <xdr:graphicFrame macro="">
      <xdr:nvGraphicFramePr>
        <xdr:cNvPr id="6" name="Chart 5">
          <a:extLst>
            <a:ext uri="{FF2B5EF4-FFF2-40B4-BE49-F238E27FC236}">
              <a16:creationId xmlns:a16="http://schemas.microsoft.com/office/drawing/2014/main" id="{995F5130-BA7C-455E-B4BE-4A3BB5894C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182218</xdr:colOff>
      <xdr:row>21</xdr:row>
      <xdr:rowOff>41412</xdr:rowOff>
    </xdr:from>
    <xdr:to>
      <xdr:col>24</xdr:col>
      <xdr:colOff>0</xdr:colOff>
      <xdr:row>38</xdr:row>
      <xdr:rowOff>171451</xdr:rowOff>
    </xdr:to>
    <xdr:graphicFrame macro="">
      <xdr:nvGraphicFramePr>
        <xdr:cNvPr id="7" name="Chart 6">
          <a:extLst>
            <a:ext uri="{FF2B5EF4-FFF2-40B4-BE49-F238E27FC236}">
              <a16:creationId xmlns:a16="http://schemas.microsoft.com/office/drawing/2014/main" id="{DF77395C-4229-44EA-B36D-5DC2045AEE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153642</xdr:colOff>
      <xdr:row>11</xdr:row>
      <xdr:rowOff>41413</xdr:rowOff>
    </xdr:from>
    <xdr:to>
      <xdr:col>10</xdr:col>
      <xdr:colOff>107674</xdr:colOff>
      <xdr:row>15</xdr:row>
      <xdr:rowOff>91108</xdr:rowOff>
    </xdr:to>
    <mc:AlternateContent xmlns:mc="http://schemas.openxmlformats.org/markup-compatibility/2006" xmlns:a14="http://schemas.microsoft.com/office/drawing/2010/main">
      <mc:Choice Requires="a14">
        <xdr:graphicFrame macro="">
          <xdr:nvGraphicFramePr>
            <xdr:cNvPr id="9" name="Week of Year">
              <a:extLst>
                <a:ext uri="{FF2B5EF4-FFF2-40B4-BE49-F238E27FC236}">
                  <a16:creationId xmlns:a16="http://schemas.microsoft.com/office/drawing/2014/main" id="{06B8F339-1F4D-4679-95F1-CED8EC62B442}"/>
                </a:ext>
              </a:extLst>
            </xdr:cNvPr>
            <xdr:cNvGraphicFramePr/>
          </xdr:nvGraphicFramePr>
          <xdr:xfrm>
            <a:off x="0" y="0"/>
            <a:ext cx="0" cy="0"/>
          </xdr:xfrm>
          <a:graphic>
            <a:graphicData uri="http://schemas.microsoft.com/office/drawing/2010/slicer">
              <sle:slicer xmlns:sle="http://schemas.microsoft.com/office/drawing/2010/slicer" name="Week of Year"/>
            </a:graphicData>
          </a:graphic>
        </xdr:graphicFrame>
      </mc:Choice>
      <mc:Fallback xmlns="">
        <xdr:sp macro="" textlink="">
          <xdr:nvSpPr>
            <xdr:cNvPr id="0" name=""/>
            <xdr:cNvSpPr>
              <a:spLocks noTextEdit="1"/>
            </xdr:cNvSpPr>
          </xdr:nvSpPr>
          <xdr:spPr>
            <a:xfrm>
              <a:off x="2845490" y="1863587"/>
              <a:ext cx="2422249" cy="646043"/>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85725</xdr:colOff>
      <xdr:row>2</xdr:row>
      <xdr:rowOff>28575</xdr:rowOff>
    </xdr:from>
    <xdr:to>
      <xdr:col>5</xdr:col>
      <xdr:colOff>342900</xdr:colOff>
      <xdr:row>2</xdr:row>
      <xdr:rowOff>342900</xdr:rowOff>
    </xdr:to>
    <xdr:sp macro="[0]!RemovoFilter" textlink="">
      <xdr:nvSpPr>
        <xdr:cNvPr id="10" name="Rectangle: Rounded Corners 9">
          <a:extLst>
            <a:ext uri="{FF2B5EF4-FFF2-40B4-BE49-F238E27FC236}">
              <a16:creationId xmlns:a16="http://schemas.microsoft.com/office/drawing/2014/main" id="{0E86D560-23E7-74C0-517F-9506489D91BB}"/>
            </a:ext>
          </a:extLst>
        </xdr:cNvPr>
        <xdr:cNvSpPr/>
      </xdr:nvSpPr>
      <xdr:spPr>
        <a:xfrm>
          <a:off x="323850" y="247650"/>
          <a:ext cx="2085975" cy="3143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US" sz="1100"/>
            <a:t>Remover</a:t>
          </a:r>
          <a:r>
            <a:rPr lang="es-US" sz="1100" baseline="0"/>
            <a:t> Filtros</a:t>
          </a:r>
          <a:endParaRPr lang="es-US" sz="1100"/>
        </a:p>
      </xdr:txBody>
    </xdr:sp>
    <xdr:clientData/>
  </xdr:twoCellAnchor>
  <xdr:twoCellAnchor>
    <xdr:from>
      <xdr:col>1</xdr:col>
      <xdr:colOff>38100</xdr:colOff>
      <xdr:row>31</xdr:row>
      <xdr:rowOff>95250</xdr:rowOff>
    </xdr:from>
    <xdr:to>
      <xdr:col>4</xdr:col>
      <xdr:colOff>542925</xdr:colOff>
      <xdr:row>39</xdr:row>
      <xdr:rowOff>161925</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7EDE2B60-4DD5-484A-BA69-CB97AA3DA319}"/>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1925" y="5372100"/>
              <a:ext cx="1838325" cy="1514475"/>
            </a:xfrm>
            <a:prstGeom prst="rect">
              <a:avLst/>
            </a:prstGeom>
            <a:solidFill>
              <a:prstClr val="white"/>
            </a:solidFill>
            <a:ln w="1">
              <a:solidFill>
                <a:prstClr val="green"/>
              </a:solidFill>
            </a:ln>
          </xdr:spPr>
          <xdr:txBody>
            <a:bodyPr vertOverflow="clip" horzOverflow="clip"/>
            <a:lstStyle/>
            <a:p>
              <a:r>
                <a:rPr lang="es-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94837</xdr:colOff>
      <xdr:row>32</xdr:row>
      <xdr:rowOff>142875</xdr:rowOff>
    </xdr:from>
    <xdr:to>
      <xdr:col>10</xdr:col>
      <xdr:colOff>165653</xdr:colOff>
      <xdr:row>39</xdr:row>
      <xdr:rowOff>57150</xdr:rowOff>
    </xdr:to>
    <xdr:graphicFrame macro="">
      <xdr:nvGraphicFramePr>
        <xdr:cNvPr id="5" name="Chart 4">
          <a:extLst>
            <a:ext uri="{FF2B5EF4-FFF2-40B4-BE49-F238E27FC236}">
              <a16:creationId xmlns:a16="http://schemas.microsoft.com/office/drawing/2014/main" id="{8F7BB9C1-7300-482E-8C76-257DE43331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157369</xdr:colOff>
      <xdr:row>15</xdr:row>
      <xdr:rowOff>90280</xdr:rowOff>
    </xdr:from>
    <xdr:to>
      <xdr:col>10</xdr:col>
      <xdr:colOff>107673</xdr:colOff>
      <xdr:row>21</xdr:row>
      <xdr:rowOff>165653</xdr:rowOff>
    </xdr:to>
    <mc:AlternateContent xmlns:mc="http://schemas.openxmlformats.org/markup-compatibility/2006" xmlns:a14="http://schemas.microsoft.com/office/drawing/2010/main">
      <mc:Choice Requires="a14">
        <xdr:graphicFrame macro="">
          <xdr:nvGraphicFramePr>
            <xdr:cNvPr id="8" name="Day Name">
              <a:extLst>
                <a:ext uri="{FF2B5EF4-FFF2-40B4-BE49-F238E27FC236}">
                  <a16:creationId xmlns:a16="http://schemas.microsoft.com/office/drawing/2014/main" id="{54EDAC1B-0AFB-49EA-B0A9-B3D6B4ABDE7C}"/>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2837208" y="2508802"/>
              <a:ext cx="2415618" cy="1168677"/>
            </a:xfrm>
            <a:prstGeom prst="rect">
              <a:avLst/>
            </a:prstGeom>
            <a:solidFill>
              <a:prstClr val="white"/>
            </a:solidFill>
            <a:ln w="1">
              <a:solidFill>
                <a:prstClr val="green"/>
              </a:solidFill>
            </a:ln>
          </xdr:spPr>
          <xdr:txBody>
            <a:bodyPr vertOverflow="clip" horzOverflow="clip"/>
            <a:lstStyle/>
            <a:p>
              <a:r>
                <a:rPr lang="es-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552450</xdr:colOff>
      <xdr:row>2</xdr:row>
      <xdr:rowOff>28575</xdr:rowOff>
    </xdr:from>
    <xdr:to>
      <xdr:col>20</xdr:col>
      <xdr:colOff>571500</xdr:colOff>
      <xdr:row>2</xdr:row>
      <xdr:rowOff>342900</xdr:rowOff>
    </xdr:to>
    <xdr:sp macro="[0]!Data" textlink="">
      <xdr:nvSpPr>
        <xdr:cNvPr id="12" name="Rectangle: Rounded Corners 11">
          <a:extLst>
            <a:ext uri="{FF2B5EF4-FFF2-40B4-BE49-F238E27FC236}">
              <a16:creationId xmlns:a16="http://schemas.microsoft.com/office/drawing/2014/main" id="{68B7B5E2-D143-43DF-85BB-DE3CEFC16A07}"/>
            </a:ext>
          </a:extLst>
        </xdr:cNvPr>
        <xdr:cNvSpPr/>
      </xdr:nvSpPr>
      <xdr:spPr>
        <a:xfrm>
          <a:off x="9391650" y="247650"/>
          <a:ext cx="2085975" cy="3143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s-US" sz="1100"/>
            <a:t>Añadir</a:t>
          </a:r>
          <a:r>
            <a:rPr lang="es-US" sz="1100" baseline="0"/>
            <a:t> Data</a:t>
          </a:r>
          <a:endParaRPr lang="es-US"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322.279139120372" backgroundQuery="1" createdVersion="8" refreshedVersion="8" minRefreshableVersion="3" recordCount="0" supportSubquery="1" supportAdvancedDrill="1" xr:uid="{268A4BC9-5B5B-4736-B131-275695CBCDC2}">
  <cacheSource type="external" connectionId="2"/>
  <cacheFields count="7">
    <cacheField name="[Measures].[Sum of Producido]" caption="Sum of Producido" numFmtId="0" hierarchy="28" level="32767"/>
    <cacheField name="[Measures].[Sum of Consumido]" caption="Sum of Consumido" numFmtId="0" hierarchy="29" level="32767"/>
    <cacheField name="[EnergiaSolar].[Ciclo].[Ciclo]" caption="Ciclo" numFmtId="0" hierarchy="2" level="1">
      <sharedItems containsSemiMixedTypes="0" containsString="0" containsNumber="1" containsInteger="1" minValue="1" maxValue="1" count="1">
        <n v="1"/>
      </sharedItems>
      <extLst>
        <ext xmlns:x15="http://schemas.microsoft.com/office/spreadsheetml/2010/11/main" uri="{4F2E5C28-24EA-4eb8-9CBF-B6C8F9C3D259}">
          <x15:cachedUniqueNames>
            <x15:cachedUniqueName index="0" name="[EnergiaSolar].[Ciclo].&amp;[1]"/>
          </x15:cachedUniqueNames>
        </ext>
      </extLst>
    </cacheField>
    <cacheField name="[Measures].[Sum of Variante]" caption="Sum of Variante" numFmtId="0" hierarchy="31" level="32767"/>
    <cacheField name="[Measures].[Sum of Variante en $]" caption="Sum of Variante en $" numFmtId="0" hierarchy="32" level="32767"/>
    <cacheField name="[EnergiaSolar].[Year].[Year]" caption="Year" numFmtId="0" hierarchy="12" level="1">
      <sharedItems containsSemiMixedTypes="0" containsNonDate="0" containsString="0"/>
    </cacheField>
    <cacheField name="[EnergiaSolar].[Month Name].[Month Name]" caption="Month Name" numFmtId="0" hierarchy="10" level="1">
      <sharedItems containsSemiMixedTypes="0" containsNonDate="0" containsString="0"/>
    </cacheField>
  </cacheFields>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0" memberValueDatatype="7" unbalanced="0"/>
    <cacheHierarchy uniqueName="[EnergiaSolar].[Ciclo]" caption="Ciclo" attribute="1" defaultMemberUniqueName="[EnergiaSolar].[Ciclo].[All]" allUniqueName="[EnergiaSolar].[Ciclo].[All]" dimensionUniqueName="[EnergiaSolar]" displayFolder="" count="2" memberValueDatatype="20" unbalanced="0">
      <fieldsUsage count="2">
        <fieldUsage x="-1"/>
        <fieldUsage x="2"/>
      </fieldsUsage>
    </cacheHierarchy>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fieldsUsage count="2">
        <fieldUsage x="-1"/>
        <fieldUsage x="6"/>
      </fieldsUsage>
    </cacheHierarchy>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fieldsUsage count="2">
        <fieldUsage x="-1"/>
        <fieldUsage x="5"/>
      </fieldsUsage>
    </cacheHierarchy>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cacheHierarchy uniqueName="[Measures].[AveCosumido]" caption="AveCosumido" measure="1" displayFolder="" measureGroup="EnergiaSolar" count="0"/>
    <cacheHierarchy uniqueName="[Measures].[MaxProducido]" caption="MaxProducido" measure="1" displayFolder="" measureGroup="EnergiaSolar" count="0"/>
    <cacheHierarchy uniqueName="[Measures].[MaxComsumido]" caption="MaxComsumido" measure="1" displayFolder="" measureGroup="EnergiaSolar" count="0"/>
    <cacheHierarchy uniqueName="[Measures].[dias]" caption="dias" measure="1" displayFolder="" measureGroup="EnergiaSolar" count="0"/>
    <cacheHierarchy uniqueName="[Measures].[ComsumidoDevStandard]" caption="ComsumidoDevStandard" measure="1" displayFolder="" measureGroup="EnergiaSolar" count="0"/>
    <cacheHierarchy uniqueName="[Measures].[ProducidoDevStandard]" caption="ProducidoDevStandard" measure="1" displayFolder="" measureGroup="EnergiaSolar" count="0"/>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oneField="1" hidden="1">
      <fieldsUsage count="1">
        <fieldUsage x="1"/>
      </fieldsUsage>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oneField="1" hidden="1">
      <fieldsUsage count="1">
        <fieldUsage x="4"/>
      </fieldsUsage>
      <extLst>
        <ext xmlns:x15="http://schemas.microsoft.com/office/spreadsheetml/2010/11/main" uri="{B97F6D7D-B522-45F9-BDA1-12C45D357490}">
          <x15:cacheHierarchy aggregatedColumn="7"/>
        </ext>
      </extLst>
    </cacheHierarchy>
  </cacheHierarchies>
  <kpis count="0"/>
  <dimensions count="3">
    <dimension name="CostPerKwh" uniqueName="[CostPerKwh]" caption="CostPerKwh"/>
    <dimension name="EnergiaSolar" uniqueName="[EnergiaSolar]" caption="EnergiaSolar"/>
    <dimension measure="1" name="Measures" uniqueName="[Measures]" caption="Measures"/>
  </dimensions>
  <measureGroups count="2">
    <measureGroup name="CostPerKwh" caption="CostPerKwh"/>
    <measureGroup name="EnergiaSolar" caption="EnergiaSolar"/>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322.279139467595" backgroundQuery="1" createdVersion="8" refreshedVersion="8" minRefreshableVersion="3" recordCount="0" supportSubquery="1" supportAdvancedDrill="1" xr:uid="{AF7B309D-EBC5-4927-B377-385D63E83F4D}">
  <cacheSource type="external" connectionId="2"/>
  <cacheFields count="7">
    <cacheField name="[EnergiaSolar].[Month Name].[Month Name]" caption="Month Name" numFmtId="0" hierarchy="10" level="1">
      <sharedItems count="2">
        <s v="January"/>
        <s v="February"/>
      </sharedItems>
    </cacheField>
    <cacheField name="[Measures].[Sum of Producido]" caption="Sum of Producido" numFmtId="0" hierarchy="28" level="32767"/>
    <cacheField name="[Measures].[Sum of Consumido]" caption="Sum of Consumido" numFmtId="0" hierarchy="29" level="32767"/>
    <cacheField name="[Measures].[Sum of Variante]" caption="Sum of Variante" numFmtId="0" hierarchy="31" level="32767"/>
    <cacheField name="[Measures].[Sum of Variante en $]" caption="Sum of Variante en $" numFmtId="0" hierarchy="32" level="32767"/>
    <cacheField name="[EnergiaSolar].[Year].[Year]" caption="Year" numFmtId="0" hierarchy="12" level="1">
      <sharedItems containsSemiMixedTypes="0" containsNonDate="0" containsString="0"/>
    </cacheField>
    <cacheField name="[EnergiaSolar].[Ciclo].[Ciclo]" caption="Ciclo" numFmtId="0" hierarchy="2" level="1">
      <sharedItems containsSemiMixedTypes="0" containsNonDate="0" containsString="0"/>
    </cacheField>
  </cacheFields>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0" memberValueDatatype="7" unbalanced="0"/>
    <cacheHierarchy uniqueName="[EnergiaSolar].[Ciclo]" caption="Ciclo" attribute="1" defaultMemberUniqueName="[EnergiaSolar].[Ciclo].[All]" allUniqueName="[EnergiaSolar].[Ciclo].[All]" dimensionUniqueName="[EnergiaSolar]" displayFolder="" count="2" memberValueDatatype="20" unbalanced="0">
      <fieldsUsage count="2">
        <fieldUsage x="-1"/>
        <fieldUsage x="6"/>
      </fieldsUsage>
    </cacheHierarchy>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fieldsUsage count="2">
        <fieldUsage x="-1"/>
        <fieldUsage x="0"/>
      </fieldsUsage>
    </cacheHierarchy>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fieldsUsage count="2">
        <fieldUsage x="-1"/>
        <fieldUsage x="5"/>
      </fieldsUsage>
    </cacheHierarchy>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cacheHierarchy uniqueName="[Measures].[AveCosumido]" caption="AveCosumido" measure="1" displayFolder="" measureGroup="EnergiaSolar" count="0"/>
    <cacheHierarchy uniqueName="[Measures].[MaxProducido]" caption="MaxProducido" measure="1" displayFolder="" measureGroup="EnergiaSolar" count="0"/>
    <cacheHierarchy uniqueName="[Measures].[MaxComsumido]" caption="MaxComsumido" measure="1" displayFolder="" measureGroup="EnergiaSolar" count="0"/>
    <cacheHierarchy uniqueName="[Measures].[dias]" caption="dias" measure="1" displayFolder="" measureGroup="EnergiaSolar" count="0"/>
    <cacheHierarchy uniqueName="[Measures].[ComsumidoDevStandard]" caption="ComsumidoDevStandard" measure="1" displayFolder="" measureGroup="EnergiaSolar" count="0"/>
    <cacheHierarchy uniqueName="[Measures].[ProducidoDevStandard]" caption="ProducidoDevStandard" measure="1" displayFolder="" measureGroup="EnergiaSolar" count="0"/>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oneField="1" hidden="1">
      <fieldsUsage count="1">
        <fieldUsage x="2"/>
      </fieldsUsage>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oneField="1" hidden="1">
      <fieldsUsage count="1">
        <fieldUsage x="4"/>
      </fieldsUsage>
      <extLst>
        <ext xmlns:x15="http://schemas.microsoft.com/office/spreadsheetml/2010/11/main" uri="{B97F6D7D-B522-45F9-BDA1-12C45D357490}">
          <x15:cacheHierarchy aggregatedColumn="7"/>
        </ext>
      </extLst>
    </cacheHierarchy>
  </cacheHierarchies>
  <kpis count="0"/>
  <dimensions count="3">
    <dimension name="CostPerKwh" uniqueName="[CostPerKwh]" caption="CostPerKwh"/>
    <dimension name="EnergiaSolar" uniqueName="[EnergiaSolar]" caption="EnergiaSolar"/>
    <dimension measure="1" name="Measures" uniqueName="[Measures]" caption="Measures"/>
  </dimensions>
  <measureGroups count="2">
    <measureGroup name="CostPerKwh" caption="CostPerKwh"/>
    <measureGroup name="EnergiaSolar" caption="EnergiaSolar"/>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322.279139814818" backgroundQuery="1" createdVersion="8" refreshedVersion="8" minRefreshableVersion="3" recordCount="0" supportSubquery="1" supportAdvancedDrill="1" xr:uid="{1AB12EFD-BB46-4E47-9C9F-0802A26CFA48}">
  <cacheSource type="external" connectionId="2"/>
  <cacheFields count="6">
    <cacheField name="[Measures].[Sum of Consumido]" caption="Sum of Consumido" numFmtId="0" hierarchy="29" level="32767"/>
    <cacheField name="[Measures].[Sum of Producido]" caption="Sum of Producido" numFmtId="0" hierarchy="28" level="32767"/>
    <cacheField name="[Measures].[Sum of Variante]" caption="Sum of Variante" numFmtId="0" hierarchy="31" level="32767"/>
    <cacheField name="[EnergiaSolar].[Year].[Year]" caption="Year" numFmtId="0" hierarchy="12" level="1">
      <sharedItems containsSemiMixedTypes="0" containsNonDate="0" containsString="0"/>
    </cacheField>
    <cacheField name="[EnergiaSolar].[Month Name].[Month Name]" caption="Month Name" numFmtId="0" hierarchy="10" level="1">
      <sharedItems containsSemiMixedTypes="0" containsNonDate="0" containsString="0"/>
    </cacheField>
    <cacheField name="[EnergiaSolar].[Ciclo].[Ciclo]" caption="Ciclo" numFmtId="0" hierarchy="2" level="1">
      <sharedItems containsSemiMixedTypes="0" containsNonDate="0" containsString="0"/>
    </cacheField>
  </cacheFields>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0" memberValueDatatype="7" unbalanced="0"/>
    <cacheHierarchy uniqueName="[EnergiaSolar].[Ciclo]" caption="Ciclo" attribute="1" defaultMemberUniqueName="[EnergiaSolar].[Ciclo].[All]" allUniqueName="[EnergiaSolar].[Ciclo].[All]" dimensionUniqueName="[EnergiaSolar]" displayFolder="" count="2" memberValueDatatype="20" unbalanced="0">
      <fieldsUsage count="2">
        <fieldUsage x="-1"/>
        <fieldUsage x="5"/>
      </fieldsUsage>
    </cacheHierarchy>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fieldsUsage count="2">
        <fieldUsage x="-1"/>
        <fieldUsage x="4"/>
      </fieldsUsage>
    </cacheHierarchy>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fieldsUsage count="2">
        <fieldUsage x="-1"/>
        <fieldUsage x="3"/>
      </fieldsUsage>
    </cacheHierarchy>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cacheHierarchy uniqueName="[Measures].[AveCosumido]" caption="AveCosumido" measure="1" displayFolder="" measureGroup="EnergiaSolar" count="0"/>
    <cacheHierarchy uniqueName="[Measures].[MaxProducido]" caption="MaxProducido" measure="1" displayFolder="" measureGroup="EnergiaSolar" count="0"/>
    <cacheHierarchy uniqueName="[Measures].[MaxComsumido]" caption="MaxComsumido" measure="1" displayFolder="" measureGroup="EnergiaSolar" count="0"/>
    <cacheHierarchy uniqueName="[Measures].[dias]" caption="dias" measure="1" displayFolder="" measureGroup="EnergiaSolar" count="0"/>
    <cacheHierarchy uniqueName="[Measures].[ComsumidoDevStandard]" caption="ComsumidoDevStandard" measure="1" displayFolder="" measureGroup="EnergiaSolar" count="0"/>
    <cacheHierarchy uniqueName="[Measures].[ProducidoDevStandard]" caption="ProducidoDevStandard" measure="1" displayFolder="" measureGroup="EnergiaSolar" count="0"/>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oneField="1" hidden="1">
      <fieldsUsage count="1">
        <fieldUsage x="0"/>
      </fieldsUsage>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hidden="1">
      <extLst>
        <ext xmlns:x15="http://schemas.microsoft.com/office/spreadsheetml/2010/11/main" uri="{B97F6D7D-B522-45F9-BDA1-12C45D357490}">
          <x15:cacheHierarchy aggregatedColumn="7"/>
        </ext>
      </extLst>
    </cacheHierarchy>
  </cacheHierarchies>
  <kpis count="0"/>
  <dimensions count="3">
    <dimension name="CostPerKwh" uniqueName="[CostPerKwh]" caption="CostPerKwh"/>
    <dimension name="EnergiaSolar" uniqueName="[EnergiaSolar]" caption="EnergiaSolar"/>
    <dimension measure="1" name="Measures" uniqueName="[Measures]" caption="Measures"/>
  </dimensions>
  <measureGroups count="2">
    <measureGroup name="CostPerKwh" caption="CostPerKwh"/>
    <measureGroup name="EnergiaSolar" caption="EnergiaSolar"/>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322.279140162034" backgroundQuery="1" createdVersion="8" refreshedVersion="8" minRefreshableVersion="3" recordCount="0" supportSubquery="1" supportAdvancedDrill="1" xr:uid="{2E85927B-8B49-4E9E-AC4E-1A455FF4FFE1}">
  <cacheSource type="external" connectionId="2"/>
  <cacheFields count="6">
    <cacheField name="[EnergiaSolar].[Dia].[Dia]" caption="Dia" numFmtId="0" hierarchy="1" level="1">
      <sharedItems containsSemiMixedTypes="0" containsNonDate="0" containsDate="1" containsString="0" minDate="2024-01-13T00:00:00" maxDate="2024-01-31T00:00:00" count="18">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sharedItems>
    </cacheField>
    <cacheField name="[Measures].[Sum of Producido]" caption="Sum of Producido" numFmtId="0" hierarchy="28" level="32767"/>
    <cacheField name="[Measures].[Sum of Consumido]" caption="Sum of Consumido" numFmtId="0" hierarchy="29" level="32767"/>
    <cacheField name="[EnergiaSolar].[Year].[Year]" caption="Year" numFmtId="0" hierarchy="12" level="1">
      <sharedItems containsSemiMixedTypes="0" containsNonDate="0" containsString="0"/>
    </cacheField>
    <cacheField name="[EnergiaSolar].[Month Name].[Month Name]" caption="Month Name" numFmtId="0" hierarchy="10" level="1">
      <sharedItems containsSemiMixedTypes="0" containsNonDate="0" containsString="0"/>
    </cacheField>
    <cacheField name="[EnergiaSolar].[Ciclo].[Ciclo]" caption="Ciclo" numFmtId="0" hierarchy="2" level="1">
      <sharedItems containsSemiMixedTypes="0" containsNonDate="0" containsString="0"/>
    </cacheField>
  </cacheFields>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2" memberValueDatatype="7" unbalanced="0">
      <fieldsUsage count="2">
        <fieldUsage x="-1"/>
        <fieldUsage x="0"/>
      </fieldsUsage>
    </cacheHierarchy>
    <cacheHierarchy uniqueName="[EnergiaSolar].[Ciclo]" caption="Ciclo" attribute="1" defaultMemberUniqueName="[EnergiaSolar].[Ciclo].[All]" allUniqueName="[EnergiaSolar].[Ciclo].[All]" dimensionUniqueName="[EnergiaSolar]" displayFolder="" count="2" memberValueDatatype="20" unbalanced="0">
      <fieldsUsage count="2">
        <fieldUsage x="-1"/>
        <fieldUsage x="5"/>
      </fieldsUsage>
    </cacheHierarchy>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fieldsUsage count="2">
        <fieldUsage x="-1"/>
        <fieldUsage x="4"/>
      </fieldsUsage>
    </cacheHierarchy>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fieldsUsage count="2">
        <fieldUsage x="-1"/>
        <fieldUsage x="3"/>
      </fieldsUsage>
    </cacheHierarchy>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cacheHierarchy uniqueName="[Measures].[AveCosumido]" caption="AveCosumido" measure="1" displayFolder="" measureGroup="EnergiaSolar" count="0"/>
    <cacheHierarchy uniqueName="[Measures].[MaxProducido]" caption="MaxProducido" measure="1" displayFolder="" measureGroup="EnergiaSolar" count="0"/>
    <cacheHierarchy uniqueName="[Measures].[MaxComsumido]" caption="MaxComsumido" measure="1" displayFolder="" measureGroup="EnergiaSolar" count="0"/>
    <cacheHierarchy uniqueName="[Measures].[dias]" caption="dias" measure="1" displayFolder="" measureGroup="EnergiaSolar" count="0"/>
    <cacheHierarchy uniqueName="[Measures].[ComsumidoDevStandard]" caption="ComsumidoDevStandard" measure="1" displayFolder="" measureGroup="EnergiaSolar" count="0"/>
    <cacheHierarchy uniqueName="[Measures].[ProducidoDevStandard]" caption="ProducidoDevStandard" measure="1" displayFolder="" measureGroup="EnergiaSolar" count="0"/>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oneField="1" hidden="1">
      <fieldsUsage count="1">
        <fieldUsage x="2"/>
      </fieldsUsage>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hidden="1">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hidden="1">
      <extLst>
        <ext xmlns:x15="http://schemas.microsoft.com/office/spreadsheetml/2010/11/main" uri="{B97F6D7D-B522-45F9-BDA1-12C45D357490}">
          <x15:cacheHierarchy aggregatedColumn="7"/>
        </ext>
      </extLst>
    </cacheHierarchy>
  </cacheHierarchies>
  <kpis count="0"/>
  <dimensions count="3">
    <dimension name="CostPerKwh" uniqueName="[CostPerKwh]" caption="CostPerKwh"/>
    <dimension name="EnergiaSolar" uniqueName="[EnergiaSolar]" caption="EnergiaSolar"/>
    <dimension measure="1" name="Measures" uniqueName="[Measures]" caption="Measures"/>
  </dimensions>
  <measureGroups count="2">
    <measureGroup name="CostPerKwh" caption="CostPerKwh"/>
    <measureGroup name="EnergiaSolar" caption="EnergiaSolar"/>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322.279140509258" backgroundQuery="1" createdVersion="8" refreshedVersion="8" minRefreshableVersion="3" recordCount="0" supportSubquery="1" supportAdvancedDrill="1" xr:uid="{1B360034-6630-4CFD-BAF4-753FF993D9A9}">
  <cacheSource type="external" connectionId="2"/>
  <cacheFields count="8">
    <cacheField name="[Measures].[AveProduction]" caption="AveProduction" numFmtId="0" hierarchy="18" level="32767"/>
    <cacheField name="[Measures].[AveCosumido]" caption="AveCosumido" numFmtId="0" hierarchy="19" level="32767"/>
    <cacheField name="[Measures].[MaxProducido]" caption="MaxProducido" numFmtId="0" hierarchy="20" level="32767"/>
    <cacheField name="[Measures].[MaxComsumido]" caption="MaxComsumido" numFmtId="0" hierarchy="21" level="32767"/>
    <cacheField name="[Measures].[dias]" caption="dias" numFmtId="0" hierarchy="22" level="32767"/>
    <cacheField name="[EnergiaSolar].[Year].[Year]" caption="Year" numFmtId="0" hierarchy="12" level="1">
      <sharedItems containsSemiMixedTypes="0" containsNonDate="0" containsString="0"/>
    </cacheField>
    <cacheField name="[EnergiaSolar].[Month Name].[Month Name]" caption="Month Name" numFmtId="0" hierarchy="10" level="1">
      <sharedItems containsSemiMixedTypes="0" containsNonDate="0" containsString="0"/>
    </cacheField>
    <cacheField name="[EnergiaSolar].[Ciclo].[Ciclo]" caption="Ciclo" numFmtId="0" hierarchy="2" level="1">
      <sharedItems containsSemiMixedTypes="0" containsNonDate="0" containsString="0"/>
    </cacheField>
  </cacheFields>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0" memberValueDatatype="7" unbalanced="0"/>
    <cacheHierarchy uniqueName="[EnergiaSolar].[Ciclo]" caption="Ciclo" attribute="1" defaultMemberUniqueName="[EnergiaSolar].[Ciclo].[All]" allUniqueName="[EnergiaSolar].[Ciclo].[All]" dimensionUniqueName="[EnergiaSolar]" displayFolder="" count="2" memberValueDatatype="20" unbalanced="0">
      <fieldsUsage count="2">
        <fieldUsage x="-1"/>
        <fieldUsage x="7"/>
      </fieldsUsage>
    </cacheHierarchy>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fieldsUsage count="2">
        <fieldUsage x="-1"/>
        <fieldUsage x="6"/>
      </fieldsUsage>
    </cacheHierarchy>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fieldsUsage count="2">
        <fieldUsage x="-1"/>
        <fieldUsage x="5"/>
      </fieldsUsage>
    </cacheHierarchy>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oneField="1">
      <fieldsUsage count="1">
        <fieldUsage x="0"/>
      </fieldsUsage>
    </cacheHierarchy>
    <cacheHierarchy uniqueName="[Measures].[AveCosumido]" caption="AveCosumido" measure="1" displayFolder="" measureGroup="EnergiaSolar" count="0" oneField="1">
      <fieldsUsage count="1">
        <fieldUsage x="1"/>
      </fieldsUsage>
    </cacheHierarchy>
    <cacheHierarchy uniqueName="[Measures].[MaxProducido]" caption="MaxProducido" measure="1" displayFolder="" measureGroup="EnergiaSolar" count="0" oneField="1">
      <fieldsUsage count="1">
        <fieldUsage x="2"/>
      </fieldsUsage>
    </cacheHierarchy>
    <cacheHierarchy uniqueName="[Measures].[MaxComsumido]" caption="MaxComsumido" measure="1" displayFolder="" measureGroup="EnergiaSolar" count="0" oneField="1">
      <fieldsUsage count="1">
        <fieldUsage x="3"/>
      </fieldsUsage>
    </cacheHierarchy>
    <cacheHierarchy uniqueName="[Measures].[dias]" caption="dias" measure="1" displayFolder="" measureGroup="EnergiaSolar" count="0" oneField="1">
      <fieldsUsage count="1">
        <fieldUsage x="4"/>
      </fieldsUsage>
    </cacheHierarchy>
    <cacheHierarchy uniqueName="[Measures].[ComsumidoDevStandard]" caption="ComsumidoDevStandard" measure="1" displayFolder="" measureGroup="EnergiaSolar" count="0"/>
    <cacheHierarchy uniqueName="[Measures].[ProducidoDevStandard]" caption="ProducidoDevStandard" measure="1" displayFolder="" measureGroup="EnergiaSolar" count="0"/>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hidden="1">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hidden="1">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hidden="1">
      <extLst>
        <ext xmlns:x15="http://schemas.microsoft.com/office/spreadsheetml/2010/11/main" uri="{B97F6D7D-B522-45F9-BDA1-12C45D357490}">
          <x15:cacheHierarchy aggregatedColumn="7"/>
        </ext>
      </extLst>
    </cacheHierarchy>
  </cacheHierarchies>
  <kpis count="0"/>
  <dimensions count="3">
    <dimension name="CostPerKwh" uniqueName="[CostPerKwh]" caption="CostPerKwh"/>
    <dimension name="EnergiaSolar" uniqueName="[EnergiaSolar]" caption="EnergiaSolar"/>
    <dimension measure="1" name="Measures" uniqueName="[Measures]" caption="Measures"/>
  </dimensions>
  <measureGroups count="2">
    <measureGroup name="CostPerKwh" caption="CostPerKwh"/>
    <measureGroup name="EnergiaSolar" caption="EnergiaSolar"/>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322.279140856481" backgroundQuery="1" createdVersion="8" refreshedVersion="8" minRefreshableVersion="3" recordCount="0" supportSubquery="1" supportAdvancedDrill="1" xr:uid="{A6198CB5-01F5-4E59-85AA-B406BD21A6B7}">
  <cacheSource type="external" connectionId="2"/>
  <cacheFields count="7">
    <cacheField name="[Measures].[Sum of Producido]" caption="Sum of Producido" numFmtId="0" hierarchy="28" level="32767"/>
    <cacheField name="[Measures].[Sum of Consumido]" caption="Sum of Consumido" numFmtId="0" hierarchy="29" level="32767"/>
    <cacheField name="[Measures].[ComsumidoDevStandard]" caption="ComsumidoDevStandard" numFmtId="0" hierarchy="23" level="32767"/>
    <cacheField name="[Measures].[ProducidoDevStandard]" caption="ProducidoDevStandard" numFmtId="0" hierarchy="24" level="32767"/>
    <cacheField name="[EnergiaSolar].[Year].[Year]" caption="Year" numFmtId="0" hierarchy="12" level="1">
      <sharedItems containsSemiMixedTypes="0" containsNonDate="0" containsString="0"/>
    </cacheField>
    <cacheField name="[EnergiaSolar].[Month Name].[Month Name]" caption="Month Name" numFmtId="0" hierarchy="10" level="1">
      <sharedItems containsSemiMixedTypes="0" containsNonDate="0" containsString="0"/>
    </cacheField>
    <cacheField name="[EnergiaSolar].[Ciclo].[Ciclo]" caption="Ciclo" numFmtId="0" hierarchy="2" level="1">
      <sharedItems containsSemiMixedTypes="0" containsNonDate="0" containsString="0"/>
    </cacheField>
  </cacheFields>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0" memberValueDatatype="7" unbalanced="0"/>
    <cacheHierarchy uniqueName="[EnergiaSolar].[Ciclo]" caption="Ciclo" attribute="1" defaultMemberUniqueName="[EnergiaSolar].[Ciclo].[All]" allUniqueName="[EnergiaSolar].[Ciclo].[All]" dimensionUniqueName="[EnergiaSolar]" displayFolder="" count="2" memberValueDatatype="20" unbalanced="0">
      <fieldsUsage count="2">
        <fieldUsage x="-1"/>
        <fieldUsage x="6"/>
      </fieldsUsage>
    </cacheHierarchy>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fieldsUsage count="2">
        <fieldUsage x="-1"/>
        <fieldUsage x="5"/>
      </fieldsUsage>
    </cacheHierarchy>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fieldsUsage count="2">
        <fieldUsage x="-1"/>
        <fieldUsage x="4"/>
      </fieldsUsage>
    </cacheHierarchy>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cacheHierarchy uniqueName="[Measures].[AveCosumido]" caption="AveCosumido" measure="1" displayFolder="" measureGroup="EnergiaSolar" count="0"/>
    <cacheHierarchy uniqueName="[Measures].[MaxProducido]" caption="MaxProducido" measure="1" displayFolder="" measureGroup="EnergiaSolar" count="0"/>
    <cacheHierarchy uniqueName="[Measures].[MaxComsumido]" caption="MaxComsumido" measure="1" displayFolder="" measureGroup="EnergiaSolar" count="0"/>
    <cacheHierarchy uniqueName="[Measures].[dias]" caption="dias" measure="1" displayFolder="" measureGroup="EnergiaSolar" count="0"/>
    <cacheHierarchy uniqueName="[Measures].[ComsumidoDevStandard]" caption="ComsumidoDevStandard" measure="1" displayFolder="" measureGroup="EnergiaSolar" count="0" oneField="1">
      <fieldsUsage count="1">
        <fieldUsage x="2"/>
      </fieldsUsage>
    </cacheHierarchy>
    <cacheHierarchy uniqueName="[Measures].[ProducidoDevStandard]" caption="ProducidoDevStandard" measure="1" displayFolder="" measureGroup="EnergiaSolar" count="0" oneField="1">
      <fieldsUsage count="1">
        <fieldUsage x="3"/>
      </fieldsUsage>
    </cacheHierarchy>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oneField="1" hidden="1">
      <fieldsUsage count="1">
        <fieldUsage x="1"/>
      </fieldsUsage>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hidden="1">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hidden="1">
      <extLst>
        <ext xmlns:x15="http://schemas.microsoft.com/office/spreadsheetml/2010/11/main" uri="{B97F6D7D-B522-45F9-BDA1-12C45D357490}">
          <x15:cacheHierarchy aggregatedColumn="7"/>
        </ext>
      </extLst>
    </cacheHierarchy>
  </cacheHierarchies>
  <kpis count="0"/>
  <dimensions count="3">
    <dimension name="CostPerKwh" uniqueName="[CostPerKwh]" caption="CostPerKwh"/>
    <dimension name="EnergiaSolar" uniqueName="[EnergiaSolar]" caption="EnergiaSolar"/>
    <dimension measure="1" name="Measures" uniqueName="[Measures]" caption="Measures"/>
  </dimensions>
  <measureGroups count="2">
    <measureGroup name="CostPerKwh" caption="CostPerKwh"/>
    <measureGroup name="EnergiaSolar" caption="EnergiaSolar"/>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ity" refreshedDate="45296.402420486113" backgroundQuery="1" createdVersion="3" refreshedVersion="8" minRefreshableVersion="3" recordCount="0" supportSubquery="1" supportAdvancedDrill="1" xr:uid="{5991FB98-C126-47D7-8AE8-54F7F5BE0542}">
  <cacheSource type="external" connectionId="2">
    <extLst>
      <ext xmlns:x14="http://schemas.microsoft.com/office/spreadsheetml/2009/9/main" uri="{F057638F-6D5F-4e77-A914-E7F072B9BCA8}">
        <x14:sourceConnection name="ThisWorkbookDataModel"/>
      </ext>
    </extLst>
  </cacheSource>
  <cacheFields count="0"/>
  <cacheHierarchies count="33">
    <cacheHierarchy uniqueName="[CostPerKwh].[Precio Promedio Kwh]" caption="Precio Promedio Kwh" attribute="1" defaultMemberUniqueName="[CostPerKwh].[Precio Promedio Kwh].[All]" allUniqueName="[CostPerKwh].[Precio Promedio Kwh].[All]" dimensionUniqueName="[CostPerKwh]" displayFolder="" count="0" memberValueDatatype="5" unbalanced="0"/>
    <cacheHierarchy uniqueName="[EnergiaSolar].[Dia]" caption="Dia" attribute="1" time="1" defaultMemberUniqueName="[EnergiaSolar].[Dia].[All]" allUniqueName="[EnergiaSolar].[Dia].[All]" dimensionUniqueName="[EnergiaSolar]" displayFolder="" count="0" memberValueDatatype="7" unbalanced="0"/>
    <cacheHierarchy uniqueName="[EnergiaSolar].[Ciclo]" caption="Ciclo" attribute="1" defaultMemberUniqueName="[EnergiaSolar].[Ciclo].[All]" allUniqueName="[EnergiaSolar].[Ciclo].[All]" dimensionUniqueName="[EnergiaSolar]" displayFolder="" count="2" memberValueDatatype="20" unbalanced="0"/>
    <cacheHierarchy uniqueName="[EnergiaSolar].[Producido]" caption="Producido" attribute="1" defaultMemberUniqueName="[EnergiaSolar].[Producido].[All]" allUniqueName="[EnergiaSolar].[Producido].[All]" dimensionUniqueName="[EnergiaSolar]" displayFolder="" count="0" memberValueDatatype="5" unbalanced="0"/>
    <cacheHierarchy uniqueName="[EnergiaSolar].[Consumido]" caption="Consumido" attribute="1" defaultMemberUniqueName="[EnergiaSolar].[Consumido].[All]" allUniqueName="[EnergiaSolar].[Consumido].[All]" dimensionUniqueName="[EnergiaSolar]" displayFolder="" count="0" memberValueDatatype="5" unbalanced="0"/>
    <cacheHierarchy uniqueName="[EnergiaSolar].[Variante]" caption="Variante" attribute="1" defaultMemberUniqueName="[EnergiaSolar].[Variante].[All]" allUniqueName="[EnergiaSolar].[Variante].[All]" dimensionUniqueName="[EnergiaSolar]" displayFolder="" count="0" memberValueDatatype="5" unbalanced="0"/>
    <cacheHierarchy uniqueName="[EnergiaSolar].[Variante barra]" caption="Variante barra" attribute="1" defaultMemberUniqueName="[EnergiaSolar].[Variante barra].[All]" allUniqueName="[EnergiaSolar].[Variante barra].[All]" dimensionUniqueName="[EnergiaSolar]" displayFolder="" count="0" memberValueDatatype="5" unbalanced="0"/>
    <cacheHierarchy uniqueName="[EnergiaSolar].[Variante en $]" caption="Variante en $" attribute="1" defaultMemberUniqueName="[EnergiaSolar].[Variante en $].[All]" allUniqueName="[EnergiaSolar].[Variante en $].[All]" dimensionUniqueName="[EnergiaSolar]" displayFolder="" count="0" memberValueDatatype="5" unbalanced="0"/>
    <cacheHierarchy uniqueName="[EnergiaSolar].[Commentarios]" caption="Commentarios" attribute="1" defaultMemberUniqueName="[EnergiaSolar].[Commentarios].[All]" allUniqueName="[EnergiaSolar].[Commentarios].[All]" dimensionUniqueName="[EnergiaSolar]" displayFolder="" count="0" memberValueDatatype="130" unbalanced="0"/>
    <cacheHierarchy uniqueName="[EnergiaSolar].[Month]" caption="Month" attribute="1" defaultMemberUniqueName="[EnergiaSolar].[Month].[All]" allUniqueName="[EnergiaSolar].[Month].[All]" dimensionUniqueName="[EnergiaSolar]" displayFolder="" count="0" memberValueDatatype="20" unbalanced="0"/>
    <cacheHierarchy uniqueName="[EnergiaSolar].[Month Name]" caption="Month Name" attribute="1" defaultMemberUniqueName="[EnergiaSolar].[Month Name].[All]" allUniqueName="[EnergiaSolar].[Month Name].[All]" dimensionUniqueName="[EnergiaSolar]" displayFolder="" count="2" memberValueDatatype="130" unbalanced="0"/>
    <cacheHierarchy uniqueName="[EnergiaSolar].[Week of Year]" caption="Week of Year" attribute="1" defaultMemberUniqueName="[EnergiaSolar].[Week of Year].[All]" allUniqueName="[EnergiaSolar].[Week of Year].[All]" dimensionUniqueName="[EnergiaSolar]" displayFolder="" count="2" memberValueDatatype="20" unbalanced="0"/>
    <cacheHierarchy uniqueName="[EnergiaSolar].[Year]" caption="Year" attribute="1" defaultMemberUniqueName="[EnergiaSolar].[Year].[All]" allUniqueName="[EnergiaSolar].[Year].[All]" dimensionUniqueName="[EnergiaSolar]" displayFolder="" count="2" memberValueDatatype="20" unbalanced="0"/>
    <cacheHierarchy uniqueName="[EnergiaSolar].[Week of Year.1]" caption="Week of Year.1" attribute="1" defaultMemberUniqueName="[EnergiaSolar].[Week of Year.1].[All]" allUniqueName="[EnergiaSolar].[Week of Year.1].[All]" dimensionUniqueName="[EnergiaSolar]" displayFolder="" count="0" memberValueDatatype="20" unbalanced="0"/>
    <cacheHierarchy uniqueName="[EnergiaSolar].[Day Name]" caption="Day Name" attribute="1" defaultMemberUniqueName="[EnergiaSolar].[Day Name].[All]" allUniqueName="[EnergiaSolar].[Day Name].[All]" dimensionUniqueName="[EnergiaSolar]" displayFolder="" count="2" memberValueDatatype="130" unbalanced="0"/>
    <cacheHierarchy uniqueName="[EnergiaSolar].[Day of Week]" caption="Day of Week" attribute="1" defaultMemberUniqueName="[EnergiaSolar].[Day of Week].[All]" allUniqueName="[EnergiaSolar].[Day of Week].[All]" dimensionUniqueName="[EnergiaSolar]" displayFolder="" count="0" memberValueDatatype="20" unbalanced="0"/>
    <cacheHierarchy uniqueName="[EnergiaSolar].[Dia (Month)]" caption="Dia (Month)" attribute="1" defaultMemberUniqueName="[EnergiaSolar].[Dia (Month)].[All]" allUniqueName="[EnergiaSolar].[Dia (Month)].[All]" dimensionUniqueName="[EnergiaSolar]" displayFolder="" count="0" memberValueDatatype="130" unbalanced="0"/>
    <cacheHierarchy uniqueName="[EnergiaSolar].[Dia (Month Index)]" caption="Dia (Month Index)" attribute="1" defaultMemberUniqueName="[EnergiaSolar].[Dia (Month Index)].[All]" allUniqueName="[EnergiaSolar].[Dia (Month Index)].[All]" dimensionUniqueName="[EnergiaSolar]" displayFolder="" count="0" memberValueDatatype="20" unbalanced="0" hidden="1"/>
    <cacheHierarchy uniqueName="[Measures].[AveProduction]" caption="AveProduction" measure="1" displayFolder="" measureGroup="EnergiaSolar" count="0"/>
    <cacheHierarchy uniqueName="[Measures].[AveCosumido]" caption="AveCosumido" measure="1" displayFolder="" measureGroup="EnergiaSolar" count="0"/>
    <cacheHierarchy uniqueName="[Measures].[MaxProducido]" caption="MaxProducido" measure="1" displayFolder="" measureGroup="EnergiaSolar" count="0"/>
    <cacheHierarchy uniqueName="[Measures].[MaxComsumido]" caption="MaxComsumido" measure="1" displayFolder="" measureGroup="EnergiaSolar" count="0"/>
    <cacheHierarchy uniqueName="[Measures].[dias]" caption="dias" measure="1" displayFolder="" measureGroup="EnergiaSolar" count="0"/>
    <cacheHierarchy uniqueName="[Measures].[ComsumidoDevStandard]" caption="ComsumidoDevStandard" measure="1" displayFolder="" measureGroup="EnergiaSolar" count="0"/>
    <cacheHierarchy uniqueName="[Measures].[ProducidoDevStandard]" caption="ProducidoDevStandard" measure="1" displayFolder="" measureGroup="EnergiaSolar" count="0"/>
    <cacheHierarchy uniqueName="[Measures].[__XL_Count EnergiaSolar]" caption="__XL_Count EnergiaSolar" measure="1" displayFolder="" measureGroup="EnergiaSolar" count="0" hidden="1"/>
    <cacheHierarchy uniqueName="[Measures].[__XL_Count CostPerKwh]" caption="__XL_Count CostPerKwh" measure="1" displayFolder="" measureGroup="CostPerKwh" count="0" hidden="1"/>
    <cacheHierarchy uniqueName="[Measures].[__No measures defined]" caption="__No measures defined" measure="1" displayFolder="" count="0" hidden="1"/>
    <cacheHierarchy uniqueName="[Measures].[Sum of Producido]" caption="Sum of Producido" measure="1" displayFolder="" measureGroup="EnergiaSolar" count="0" hidden="1">
      <extLst>
        <ext xmlns:x15="http://schemas.microsoft.com/office/spreadsheetml/2010/11/main" uri="{B97F6D7D-B522-45F9-BDA1-12C45D357490}">
          <x15:cacheHierarchy aggregatedColumn="3"/>
        </ext>
      </extLst>
    </cacheHierarchy>
    <cacheHierarchy uniqueName="[Measures].[Sum of Consumido]" caption="Sum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Average of Consumido]" caption="Average of Consumido" measure="1" displayFolder="" measureGroup="EnergiaSolar" count="0" hidden="1">
      <extLst>
        <ext xmlns:x15="http://schemas.microsoft.com/office/spreadsheetml/2010/11/main" uri="{B97F6D7D-B522-45F9-BDA1-12C45D357490}">
          <x15:cacheHierarchy aggregatedColumn="4"/>
        </ext>
      </extLst>
    </cacheHierarchy>
    <cacheHierarchy uniqueName="[Measures].[Sum of Variante]" caption="Sum of Variante" measure="1" displayFolder="" measureGroup="EnergiaSolar" count="0" hidden="1">
      <extLst>
        <ext xmlns:x15="http://schemas.microsoft.com/office/spreadsheetml/2010/11/main" uri="{B97F6D7D-B522-45F9-BDA1-12C45D357490}">
          <x15:cacheHierarchy aggregatedColumn="5"/>
        </ext>
      </extLst>
    </cacheHierarchy>
    <cacheHierarchy uniqueName="[Measures].[Sum of Variante en $]" caption="Sum of Variante en $" measure="1" displayFolder="" measureGroup="EnergiaSolar"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2376063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230455-0A63-4280-82C6-7F5D9279F484}" name="PvByMonth" cacheId="192" applyNumberFormats="0" applyBorderFormats="0" applyFontFormats="0" applyPatternFormats="0" applyAlignmentFormats="0" applyWidthHeightFormats="1" dataCaption="Values" tag="9e1b045d-1bb8-4437-80a1-dbdd645c5cd2" updatedVersion="8" minRefreshableVersion="3" subtotalHiddenItems="1" itemPrintTitles="1" createdVersion="8" indent="0" compact="0" compactData="0" multipleFieldFilters="0" chartFormat="2">
  <location ref="M6:Q9" firstHeaderRow="0" firstDataRow="1" firstDataCol="1"/>
  <pivotFields count="7">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3">
    <i>
      <x/>
    </i>
    <i>
      <x v="1"/>
    </i>
    <i t="grand">
      <x/>
    </i>
  </rowItems>
  <colFields count="1">
    <field x="-2"/>
  </colFields>
  <colItems count="4">
    <i>
      <x/>
    </i>
    <i i="1">
      <x v="1"/>
    </i>
    <i i="2">
      <x v="2"/>
    </i>
    <i i="3">
      <x v="3"/>
    </i>
  </colItems>
  <dataFields count="4">
    <dataField name=" Producido " fld="1" baseField="0" baseItem="0"/>
    <dataField name=" Consumido" fld="2" baseField="0" baseItem="0"/>
    <dataField name="Variante" fld="3" baseField="0" baseItem="0"/>
    <dataField name="$" fld="4" baseField="0" baseItem="0" numFmtId="40"/>
  </dataFields>
  <formats count="9">
    <format dxfId="241">
      <pivotArea outline="0" collapsedLevelsAreSubtotals="1" fieldPosition="0"/>
    </format>
    <format dxfId="240">
      <pivotArea type="all" dataOnly="0" outline="0" fieldPosition="0"/>
    </format>
    <format dxfId="239">
      <pivotArea outline="0" collapsedLevelsAreSubtotals="1" fieldPosition="0"/>
    </format>
    <format dxfId="238">
      <pivotArea field="0" type="button" dataOnly="0" labelOnly="1" outline="0" axis="axisRow" fieldPosition="0"/>
    </format>
    <format dxfId="237">
      <pivotArea dataOnly="0" labelOnly="1" outline="0" fieldPosition="0">
        <references count="1">
          <reference field="0" count="0"/>
        </references>
      </pivotArea>
    </format>
    <format dxfId="236">
      <pivotArea dataOnly="0" labelOnly="1" grandRow="1" outline="0" fieldPosition="0"/>
    </format>
    <format dxfId="235">
      <pivotArea dataOnly="0" labelOnly="1" outline="0" fieldPosition="0">
        <references count="1">
          <reference field="4294967294" count="2">
            <x v="0"/>
            <x v="1"/>
          </reference>
        </references>
      </pivotArea>
    </format>
    <format dxfId="234">
      <pivotArea dataOnly="0" labelOnly="1" outline="0" fieldPosition="0">
        <references count="1">
          <reference field="4294967294" count="1">
            <x v="3"/>
          </reference>
        </references>
      </pivotArea>
    </format>
    <format dxfId="233">
      <pivotArea outline="0" fieldPosition="0">
        <references count="1">
          <reference field="4294967294" count="1" selected="0">
            <x v="3"/>
          </reference>
        </references>
      </pivotArea>
    </format>
  </formats>
  <conditionalFormats count="2">
    <conditionalFormat priority="3">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s>
  <pivotHierarchies count="33">
    <pivotHierarchy dragToData="1"/>
    <pivotHierarchy dragToData="1"/>
    <pivotHierarchy multipleItemSelectionAllowed="1" dragToData="1">
      <members count="1" level="1">
        <member name="[EnergiaSolar].[Ciclo].&amp;[1]"/>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EnergiaSolar].[Year].&amp;[2024]"/>
      </members>
    </pivotHierarchy>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Producido "/>
    <pivotHierarchy dragToData="1" caption=" Consumido"/>
    <pivotHierarchy dragToData="1"/>
    <pivotHierarchy dragToData="1" caption="Variante"/>
    <pivotHierarchy dragToData="1" caption="$"/>
  </pivotHierarchies>
  <pivotTableStyleInfo name="PivotStyleMedium2"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EnergiaSol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E2AB5A-F93B-4B63-894A-1F8BF7F56E29}" name="PvByCiclos" cacheId="189" applyNumberFormats="0" applyBorderFormats="0" applyFontFormats="0" applyPatternFormats="0" applyAlignmentFormats="0" applyWidthHeightFormats="1" dataCaption="Values" tag="993b1441-77cd-42db-bfba-85258f2ae0d7" updatedVersion="8" minRefreshableVersion="3" subtotalHiddenItems="1" itemPrintTitles="1" createdVersion="8" indent="0" compact="0" compactData="0" multipleFieldFilters="0" chartFormat="1">
  <location ref="S6:W8" firstHeaderRow="0" firstDataRow="1" firstDataCol="1"/>
  <pivotFields count="7">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1">
        <item s="1"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2">
    <i>
      <x/>
    </i>
    <i t="grand">
      <x/>
    </i>
  </rowItems>
  <colFields count="1">
    <field x="-2"/>
  </colFields>
  <colItems count="4">
    <i>
      <x/>
    </i>
    <i i="1">
      <x v="1"/>
    </i>
    <i i="2">
      <x v="2"/>
    </i>
    <i i="3">
      <x v="3"/>
    </i>
  </colItems>
  <dataFields count="4">
    <dataField name=" Producido " fld="0" baseField="0" baseItem="0"/>
    <dataField name=" Consumido" fld="1" baseField="0" baseItem="0"/>
    <dataField name="Variante" fld="3" baseField="0" baseItem="0"/>
    <dataField name="$" fld="4" baseField="0" baseItem="0"/>
  </dataFields>
  <formats count="10">
    <format dxfId="251">
      <pivotArea outline="0" collapsedLevelsAreSubtotals="1" fieldPosition="0"/>
    </format>
    <format dxfId="250">
      <pivotArea type="all" dataOnly="0" outline="0" fieldPosition="0"/>
    </format>
    <format dxfId="249">
      <pivotArea outline="0" collapsedLevelsAreSubtotals="1" fieldPosition="0"/>
    </format>
    <format dxfId="248">
      <pivotArea field="2" type="button" dataOnly="0" labelOnly="1" outline="0" axis="axisRow" fieldPosition="0"/>
    </format>
    <format dxfId="247">
      <pivotArea dataOnly="0" labelOnly="1" outline="0" fieldPosition="0">
        <references count="1">
          <reference field="2" count="0"/>
        </references>
      </pivotArea>
    </format>
    <format dxfId="246">
      <pivotArea dataOnly="0" labelOnly="1" grandRow="1" outline="0" fieldPosition="0"/>
    </format>
    <format dxfId="245">
      <pivotArea dataOnly="0" labelOnly="1" outline="0" fieldPosition="0">
        <references count="1">
          <reference field="4294967294" count="2">
            <x v="0"/>
            <x v="1"/>
          </reference>
        </references>
      </pivotArea>
    </format>
    <format dxfId="244">
      <pivotArea dataOnly="0" labelOnly="1" outline="0" fieldPosition="0">
        <references count="1">
          <reference field="4294967294" count="1">
            <x v="3"/>
          </reference>
        </references>
      </pivotArea>
    </format>
    <format dxfId="243">
      <pivotArea dataOnly="0" labelOnly="1" outline="0" fieldPosition="0">
        <references count="1">
          <reference field="4294967294" count="1">
            <x v="3"/>
          </reference>
        </references>
      </pivotArea>
    </format>
    <format dxfId="242">
      <pivotArea dataOnly="0" labelOnly="1" outline="0" fieldPosition="0">
        <references count="1">
          <reference field="4294967294" count="1">
            <x v="3"/>
          </reference>
        </references>
      </pivotArea>
    </format>
  </formats>
  <conditionalFormats count="1">
    <conditionalFormat priority="1">
      <pivotAreas count="1">
        <pivotArea type="data" outline="0" collapsedLevelsAreSubtotals="1" fieldPosition="0">
          <references count="1">
            <reference field="4294967294" count="1" selected="0">
              <x v="2"/>
            </reference>
          </references>
        </pivotArea>
      </pivotAreas>
    </conditionalFormat>
  </conditionalFormats>
  <pivotHierarchies count="33">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EnergiaSolar].[Year].&amp;[2024]"/>
      </members>
    </pivotHierarchy>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Producido "/>
    <pivotHierarchy dragToData="1" caption=" Consumido"/>
    <pivotHierarchy dragToData="1"/>
    <pivotHierarchy dragToData="1" caption="Variante"/>
    <pivotHierarchy dragToData="1" caption="$"/>
  </pivotHierarchies>
  <pivotTableStyleInfo name="PivotStyleMedium2"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EnergiaSol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BC78E3-5387-47CF-AE3F-D8A40D7775D7}" name="PivotTable6" cacheId="198" applyNumberFormats="0" applyBorderFormats="0" applyFontFormats="0" applyPatternFormats="0" applyAlignmentFormats="0" applyWidthHeightFormats="1" dataCaption="Values" tag="3e6c0c95-d891-4484-8a0b-1e27d5914784" updatedVersion="8" minRefreshableVersion="3" useAutoFormatting="1" subtotalHiddenItems="1" itemPrintTitles="1" createdVersion="8" indent="0" compact="0" compactData="0" multipleFieldFilters="0" chartFormat="21">
  <location ref="G2:I21" firstHeaderRow="0" firstDataRow="1" firstDataCol="1"/>
  <pivotFields count="6">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Fields count="1">
    <field x="-2"/>
  </colFields>
  <colItems count="2">
    <i>
      <x/>
    </i>
    <i i="1">
      <x v="1"/>
    </i>
  </colItems>
  <dataFields count="2">
    <dataField name="Producido" fld="1" baseField="0" baseItem="0"/>
    <dataField name="Consumido" fld="2" baseField="0" baseItem="0"/>
  </dataFields>
  <formats count="1">
    <format dxfId="231">
      <pivotArea dataOnly="0" labelOnly="1" outline="0" fieldPosition="0">
        <references count="1">
          <reference field="0" count="0"/>
        </references>
      </pivotArea>
    </format>
  </formats>
  <chartFormats count="2">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s>
  <pivotHierarchies count="33">
    <pivotHierarchy dragToData="1"/>
    <pivotHierarchy dragToData="1"/>
    <pivotHierarchy multipleItemSelectionAllowed="1" dragToData="1">
      <members count="1" level="1">
        <member name="[EnergiaSolar].[Ciclo].&amp;[1]"/>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EnergiaSolar].[Year].&amp;[2024]"/>
      </members>
    </pivotHierarchy>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roducido"/>
    <pivotHierarchy dragToData="1" caption="Consumido"/>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nergiaSol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71909A-4F73-4C70-9C11-2CDF7FC87057}" name="PivotTable5" cacheId="195" applyNumberFormats="0" applyBorderFormats="0" applyFontFormats="0" applyPatternFormats="0" applyAlignmentFormats="0" applyWidthHeightFormats="1" dataCaption="Values" tag="319baf39-ca96-4c64-9828-32f3cba36a39" updatedVersion="8" minRefreshableVersion="3" useAutoFormatting="1" subtotalHiddenItems="1" itemPrintTitles="1" createdVersion="8" indent="0" outline="1" outlineData="1" multipleFieldFilters="0" chartFormat="15">
  <location ref="B2:D3" firstHeaderRow="0" firstDataRow="1" firstDataCol="0"/>
  <pivotFields count="6">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name="Producido" fld="1" baseField="0" baseItem="0"/>
    <dataField name="Consumido" fld="0" baseField="0" baseItem="0"/>
    <dataField name="Variante" fld="2" baseField="0" baseItem="2"/>
  </dataFields>
  <formats count="1">
    <format dxfId="232">
      <pivotArea outline="0" collapsedLevelsAreSubtotals="1" fieldPosition="0"/>
    </format>
  </formats>
  <chartFormats count="4">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9">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s>
  <pivotHierarchies count="33">
    <pivotHierarchy dragToData="1"/>
    <pivotHierarchy dragToData="1"/>
    <pivotHierarchy multipleItemSelectionAllowed="1" dragToData="1">
      <members count="1" level="1">
        <member name="[EnergiaSolar].[Ciclo].&amp;[1]"/>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EnergiaSolar].[Year].&amp;[2024]"/>
      </members>
    </pivotHierarchy>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roducido"/>
    <pivotHierarchy dragToData="1" caption="Consumido"/>
    <pivotHierarchy dragToData="1"/>
    <pivotHierarchy dragToData="1" caption="Variante"/>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nergiaSol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D93CDB-EB28-41B8-A1D5-6EE3192B9223}" name="PivotTable8" cacheId="204" applyNumberFormats="0" applyBorderFormats="0" applyFontFormats="0" applyPatternFormats="0" applyAlignmentFormats="0" applyWidthHeightFormats="1" dataCaption="Values" tag="021a0444-6c92-46e1-871f-64f3888561d1" updatedVersion="8" minRefreshableVersion="3" useAutoFormatting="1" subtotalHiddenItems="1" itemPrintTitles="1" createdVersion="8" indent="0" outline="1" outlineData="1" multipleFieldFilters="0" chartFormat="12">
  <location ref="B6:E7"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Sum of Producido" fld="0" baseField="0" baseItem="0"/>
    <dataField name="Sum of Consumido" fld="1" baseField="0" baseItem="0"/>
    <dataField fld="2" subtotal="count" baseField="0" baseItem="0"/>
    <dataField fld="3" subtotal="count" baseField="0" baseItem="0"/>
  </dataFields>
  <pivotHierarchies count="33">
    <pivotHierarchy dragToData="1"/>
    <pivotHierarchy dragToData="1"/>
    <pivotHierarchy multipleItemSelectionAllowed="1" dragToData="1">
      <members count="1" level="1">
        <member name="[EnergiaSolar].[Ciclo].&amp;[1]"/>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EnergiaSolar].[Year].&amp;[2024]"/>
      </members>
    </pivotHierarchy>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nergiaSol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2F053B2-CC98-47B6-8A19-0D5B1D2E37C5}" name="PivotTable7" cacheId="201" applyNumberFormats="0" applyBorderFormats="0" applyFontFormats="0" applyPatternFormats="0" applyAlignmentFormats="0" applyWidthHeightFormats="1" dataCaption="Values" tag="7ff2dfdc-5460-4a2a-b33d-03ec1ad85631" updatedVersion="8" minRefreshableVersion="3" useAutoFormatting="1" subtotalHiddenItems="1" itemPrintTitles="1" createdVersion="8" indent="0" outline="1" outlineData="1" multipleFieldFilters="0">
  <location ref="M2:Q3"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33">
    <pivotHierarchy dragToData="1"/>
    <pivotHierarchy dragToData="1"/>
    <pivotHierarchy multipleItemSelectionAllowed="1" dragToData="1">
      <members count="1" level="1">
        <member name="[EnergiaSolar].[Ciclo].&amp;[1]"/>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EnergiaSolar].[Year].&amp;[2024]"/>
      </members>
    </pivotHierarchy>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nergiaSol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925B7DDB-6F2F-4190-AF9E-E5219D877C3A}" sourceName="[EnergiaSolar].[Month Name]">
  <pivotTables>
    <pivotTable tabId="4" name="PvByCiclos"/>
    <pivotTable tabId="4" name="PvByMonth"/>
    <pivotTable tabId="5" name="PivotTable5"/>
    <pivotTable tabId="5" name="PivotTable6"/>
    <pivotTable tabId="5" name="PivotTable7"/>
    <pivotTable tabId="5" name="PivotTable8"/>
  </pivotTables>
  <data>
    <olap pivotCacheId="237606330">
      <levels count="2">
        <level uniqueName="[EnergiaSolar].[Month Name].[(All)]" sourceCaption="(All)" count="0"/>
        <level uniqueName="[EnergiaSolar].[Month Name].[Month Name]" sourceCaption="Month Name" count="12">
          <ranges>
            <range startItem="0">
              <i n="[EnergiaSolar].[Month Name].&amp;[January]" c="January"/>
              <i n="[EnergiaSolar].[Month Name].&amp;[February]" c="February"/>
              <i n="[EnergiaSolar].[Month Name].&amp;[March]" c="March" nd="1"/>
              <i n="[EnergiaSolar].[Month Name].&amp;[April]" c="April" nd="1"/>
              <i n="[EnergiaSolar].[Month Name].&amp;[May]" c="May" nd="1"/>
              <i n="[EnergiaSolar].[Month Name].&amp;[June]" c="June" nd="1"/>
              <i n="[EnergiaSolar].[Month Name].&amp;[July]" c="July" nd="1"/>
              <i n="[EnergiaSolar].[Month Name].&amp;[August]" c="August" nd="1"/>
              <i n="[EnergiaSolar].[Month Name].&amp;[September]" c="September" nd="1"/>
              <i n="[EnergiaSolar].[Month Name].&amp;[October]" c="October" nd="1"/>
              <i n="[EnergiaSolar].[Month Name].&amp;[November]" c="November" nd="1"/>
              <i n="[EnergiaSolar].[Month Name].&amp;[December]" c="December" nd="1"/>
            </range>
          </ranges>
        </level>
      </levels>
      <selections count="1">
        <selection n="[EnergiaSolar].[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clo" xr10:uid="{DF1141BC-0E7C-40E0-9367-C79FB963765D}" sourceName="[EnergiaSolar].[Ciclo]">
  <pivotTables>
    <pivotTable tabId="4" name="PvByCiclos"/>
    <pivotTable tabId="4" name="PvByMonth"/>
    <pivotTable tabId="5" name="PivotTable5"/>
    <pivotTable tabId="5" name="PivotTable6"/>
    <pivotTable tabId="5" name="PivotTable7"/>
    <pivotTable tabId="5" name="PivotTable8"/>
  </pivotTables>
  <data>
    <olap pivotCacheId="237606330">
      <levels count="2">
        <level uniqueName="[EnergiaSolar].[Ciclo].[(All)]" sourceCaption="(All)" count="0"/>
        <level uniqueName="[EnergiaSolar].[Ciclo].[Ciclo]" sourceCaption="Ciclo" count="13">
          <ranges>
            <range startItem="0">
              <i n="[EnergiaSolar].[Ciclo].&amp;[1]" c="1"/>
              <i n="[EnergiaSolar].[Ciclo].&amp;[12]" c="12"/>
              <i n="[EnergiaSolar].[Ciclo].&amp;[0]" c="0" nd="1"/>
              <i n="[EnergiaSolar].[Ciclo].&amp;[2]" c="2" nd="1"/>
              <i n="[EnergiaSolar].[Ciclo].&amp;[3]" c="3" nd="1"/>
              <i n="[EnergiaSolar].[Ciclo].&amp;[4]" c="4" nd="1"/>
              <i n="[EnergiaSolar].[Ciclo].&amp;[5]" c="5" nd="1"/>
              <i n="[EnergiaSolar].[Ciclo].&amp;[6]" c="6" nd="1"/>
              <i n="[EnergiaSolar].[Ciclo].&amp;[7]" c="7" nd="1"/>
              <i n="[EnergiaSolar].[Ciclo].&amp;[8]" c="8" nd="1"/>
              <i n="[EnergiaSolar].[Ciclo].&amp;[9]" c="9" nd="1"/>
              <i n="[EnergiaSolar].[Ciclo].&amp;[10]" c="10" nd="1"/>
              <i n="[EnergiaSolar].[Ciclo].&amp;[11]" c="11" nd="1"/>
            </range>
          </ranges>
        </level>
      </levels>
      <selections count="1">
        <selection n="[EnergiaSolar].[Ciclo].&amp;[1]"/>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511BF19-0369-480F-AB5E-4FCE7C42FD5D}" sourceName="[EnergiaSolar].[Year]">
  <pivotTables>
    <pivotTable tabId="4" name="PvByMonth"/>
    <pivotTable tabId="4" name="PvByCiclos"/>
    <pivotTable tabId="5" name="PivotTable5"/>
    <pivotTable tabId="5" name="PivotTable6"/>
    <pivotTable tabId="5" name="PivotTable7"/>
    <pivotTable tabId="5" name="PivotTable8"/>
  </pivotTables>
  <data>
    <olap pivotCacheId="237606330">
      <levels count="2">
        <level uniqueName="[EnergiaSolar].[Year].[(All)]" sourceCaption="(All)" count="0"/>
        <level uniqueName="[EnergiaSolar].[Year].[Year]" sourceCaption="Year" count="3">
          <ranges>
            <range startItem="0">
              <i n="[EnergiaSolar].[Year].&amp;[2023]" c="2023"/>
              <i n="[EnergiaSolar].[Year].&amp;[2024]" c="2024"/>
              <i n="[EnergiaSolar].[Year].&amp;[2022]" c="2022" nd="1"/>
            </range>
          </ranges>
        </level>
      </levels>
      <selections count="1">
        <selection n="[EnergiaSolar].[Year].&amp;[2024]"/>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of_Year" xr10:uid="{2B1E2991-A420-4F9F-A443-30D58343975D}" sourceName="[EnergiaSolar].[Week of Year]">
  <pivotTables>
    <pivotTable tabId="5" name="PivotTable6"/>
    <pivotTable tabId="4" name="PvByCiclos"/>
    <pivotTable tabId="4" name="PvByMonth"/>
    <pivotTable tabId="5" name="PivotTable5"/>
    <pivotTable tabId="5" name="PivotTable7"/>
    <pivotTable tabId="5" name="PivotTable8"/>
  </pivotTables>
  <data>
    <olap pivotCacheId="237606330">
      <levels count="2">
        <level uniqueName="[EnergiaSolar].[Week of Year].[(All)]" sourceCaption="(All)" count="0"/>
        <level uniqueName="[EnergiaSolar].[Week of Year].[Week of Year]" sourceCaption="Week of Year" count="53">
          <ranges>
            <range startItem="0">
              <i n="[EnergiaSolar].[Week of Year].&amp;[2]" c="2"/>
              <i n="[EnergiaSolar].[Week of Year].&amp;[3]" c="3"/>
              <i n="[EnergiaSolar].[Week of Year].&amp;[4]" c="4"/>
              <i n="[EnergiaSolar].[Week of Year].&amp;[5]" c="5"/>
              <i n="[EnergiaSolar].[Week of Year].&amp;[6]" c="6"/>
              <i n="[EnergiaSolar].[Week of Year].&amp;[7]" c="7"/>
              <i n="[EnergiaSolar].[Week of Year].&amp;[1]" c="1" nd="1"/>
              <i n="[EnergiaSolar].[Week of Year].&amp;[8]" c="8" nd="1"/>
              <i n="[EnergiaSolar].[Week of Year].&amp;[9]" c="9" nd="1"/>
              <i n="[EnergiaSolar].[Week of Year].&amp;[10]" c="10" nd="1"/>
              <i n="[EnergiaSolar].[Week of Year].&amp;[11]" c="11" nd="1"/>
              <i n="[EnergiaSolar].[Week of Year].&amp;[12]" c="12" nd="1"/>
              <i n="[EnergiaSolar].[Week of Year].&amp;[13]" c="13" nd="1"/>
              <i n="[EnergiaSolar].[Week of Year].&amp;[14]" c="14" nd="1"/>
              <i n="[EnergiaSolar].[Week of Year].&amp;[15]" c="15" nd="1"/>
              <i n="[EnergiaSolar].[Week of Year].&amp;[16]" c="16" nd="1"/>
              <i n="[EnergiaSolar].[Week of Year].&amp;[17]" c="17" nd="1"/>
              <i n="[EnergiaSolar].[Week of Year].&amp;[18]" c="18" nd="1"/>
              <i n="[EnergiaSolar].[Week of Year].&amp;[19]" c="19" nd="1"/>
              <i n="[EnergiaSolar].[Week of Year].&amp;[20]" c="20" nd="1"/>
              <i n="[EnergiaSolar].[Week of Year].&amp;[21]" c="21" nd="1"/>
              <i n="[EnergiaSolar].[Week of Year].&amp;[22]" c="22" nd="1"/>
              <i n="[EnergiaSolar].[Week of Year].&amp;[23]" c="23" nd="1"/>
              <i n="[EnergiaSolar].[Week of Year].&amp;[24]" c="24" nd="1"/>
              <i n="[EnergiaSolar].[Week of Year].&amp;[25]" c="25" nd="1"/>
              <i n="[EnergiaSolar].[Week of Year].&amp;[26]" c="26" nd="1"/>
              <i n="[EnergiaSolar].[Week of Year].&amp;[27]" c="27" nd="1"/>
              <i n="[EnergiaSolar].[Week of Year].&amp;[28]" c="28" nd="1"/>
              <i n="[EnergiaSolar].[Week of Year].&amp;[29]" c="29" nd="1"/>
              <i n="[EnergiaSolar].[Week of Year].&amp;[30]" c="30" nd="1"/>
              <i n="[EnergiaSolar].[Week of Year].&amp;[31]" c="31" nd="1"/>
              <i n="[EnergiaSolar].[Week of Year].&amp;[32]" c="32" nd="1"/>
              <i n="[EnergiaSolar].[Week of Year].&amp;[33]" c="33" nd="1"/>
              <i n="[EnergiaSolar].[Week of Year].&amp;[34]" c="34" nd="1"/>
              <i n="[EnergiaSolar].[Week of Year].&amp;[35]" c="35" nd="1"/>
              <i n="[EnergiaSolar].[Week of Year].&amp;[36]" c="36" nd="1"/>
              <i n="[EnergiaSolar].[Week of Year].&amp;[37]" c="37" nd="1"/>
              <i n="[EnergiaSolar].[Week of Year].&amp;[38]" c="38" nd="1"/>
              <i n="[EnergiaSolar].[Week of Year].&amp;[39]" c="39" nd="1"/>
              <i n="[EnergiaSolar].[Week of Year].&amp;[40]" c="40" nd="1"/>
              <i n="[EnergiaSolar].[Week of Year].&amp;[41]" c="41" nd="1"/>
              <i n="[EnergiaSolar].[Week of Year].&amp;[42]" c="42" nd="1"/>
              <i n="[EnergiaSolar].[Week of Year].&amp;[43]" c="43" nd="1"/>
              <i n="[EnergiaSolar].[Week of Year].&amp;[44]" c="44" nd="1"/>
              <i n="[EnergiaSolar].[Week of Year].&amp;[45]" c="45" nd="1"/>
              <i n="[EnergiaSolar].[Week of Year].&amp;[46]" c="46" nd="1"/>
              <i n="[EnergiaSolar].[Week of Year].&amp;[47]" c="47" nd="1"/>
              <i n="[EnergiaSolar].[Week of Year].&amp;[48]" c="48" nd="1"/>
              <i n="[EnergiaSolar].[Week of Year].&amp;[49]" c="49" nd="1"/>
              <i n="[EnergiaSolar].[Week of Year].&amp;[50]" c="50" nd="1"/>
              <i n="[EnergiaSolar].[Week of Year].&amp;[51]" c="51" nd="1"/>
              <i n="[EnergiaSolar].[Week of Year].&amp;[52]" c="52" nd="1"/>
              <i n="[EnergiaSolar].[Week of Year].&amp;[53]" c="53" nd="1"/>
            </range>
          </ranges>
        </level>
      </levels>
      <selections count="1">
        <selection n="[EnergiaSolar].[Week of Year].[All]"/>
      </selections>
    </olap>
  </data>
  <extLst>
    <x:ext xmlns:x15="http://schemas.microsoft.com/office/spreadsheetml/2010/11/main" uri="{470722E0-AACD-4C17-9CDC-17EF765DBC7E}">
      <x15:slicerCacheHideItemsWithNoData count="1">
        <x15:slicerCacheOlapLevelName uniqueName="[EnergiaSolar].[Week of Year].[Week of Year]" count="47"/>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81B5D359-1A14-49E5-9E67-A2B418A45BB2}" sourceName="[EnergiaSolar].[Day Name]">
  <pivotTables>
    <pivotTable tabId="5" name="PivotTable6"/>
    <pivotTable tabId="4" name="PvByCiclos"/>
    <pivotTable tabId="4" name="PvByMonth"/>
    <pivotTable tabId="5" name="PivotTable5"/>
    <pivotTable tabId="5" name="PivotTable7"/>
    <pivotTable tabId="5" name="PivotTable8"/>
  </pivotTables>
  <data>
    <olap pivotCacheId="237606330">
      <levels count="2">
        <level uniqueName="[EnergiaSolar].[Day Name].[(All)]" sourceCaption="(All)" count="0"/>
        <level uniqueName="[EnergiaSolar].[Day Name].[Day Name]" sourceCaption="Day Name" count="7">
          <ranges>
            <range startItem="0">
              <i n="[EnergiaSolar].[Day Name].&amp;[Sunday]" c="Sunday"/>
              <i n="[EnergiaSolar].[Day Name].&amp;[Monday]" c="Monday"/>
              <i n="[EnergiaSolar].[Day Name].&amp;[Tuesday]" c="Tuesday"/>
              <i n="[EnergiaSolar].[Day Name].&amp;[Wednesday]" c="Wednesday"/>
              <i n="[EnergiaSolar].[Day Name].&amp;[Thursday]" c="Thursday"/>
              <i n="[EnergiaSolar].[Day Name].&amp;[Friday]" c="Friday"/>
              <i n="[EnergiaSolar].[Day Name].&amp;[Saturday]" c="Saturday"/>
            </range>
          </ranges>
        </level>
      </levels>
      <selections count="1">
        <selection n="[EnergiaSolar].[Day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1E9D2C89-603A-4BFA-903E-B669F09B10E6}" cache="Slicer_Month_Name" caption="Month Name" columnCount="2" level="1" style="SlicerStyleDark1" rowHeight="241300"/>
  <slicer name="Ciclo" xr10:uid="{ED3BAE45-D025-4E86-BCAF-90C30CB75108}" cache="Slicer_Ciclo" caption="Ciclo" columnCount="6" level="1" style="SlicerStyleDark1" rowHeight="241300"/>
  <slicer name="Year" xr10:uid="{C0B1BA0E-7FBE-4FBD-AA5E-15BC4BD19C66}" cache="Slicer_Year" caption="Year" columnCount="4" level="1" style="SlicerStyleDark1" rowHeight="241300"/>
  <slicer name="Week of Year" xr10:uid="{85D7E619-1281-4BCB-931B-512DBC6488DF}" cache="Slicer_Week_of_Year" caption="Week of Year" columnCount="6" level="1" style="SlicerStyleDark1" rowHeight="241300"/>
  <slicer name="Day Name" xr10:uid="{200F3967-A126-48ED-AC24-2DE77158DC7F}" cache="Slicer_Day_Name" caption="Day Name" columnCount="3" level="1"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6C0D32-47AE-4CD5-A478-D3D13A92426B}" name="EnergiaSolar" displayName="EnergiaSolar" ref="A2:H660">
  <autoFilter ref="A2:H660" xr:uid="{DF6C0D32-47AE-4CD5-A478-D3D13A92426B}"/>
  <sortState xmlns:xlrd2="http://schemas.microsoft.com/office/spreadsheetml/2017/richdata2" ref="A3:H618">
    <sortCondition ref="A2:A618"/>
  </sortState>
  <tableColumns count="8">
    <tableColumn id="1" xr3:uid="{E89409EA-F062-43A4-B7DB-0D4AD5E7F16D}" name="Dia" totalsRowLabel="Total" dataDxfId="265"/>
    <tableColumn id="7" xr3:uid="{E31E7EF6-A55E-4676-A85B-285A3B40C933}" name="Ciclo" dataDxfId="264"/>
    <tableColumn id="2" xr3:uid="{83437082-3ECC-49D0-8BF6-6E6DD61716DE}" name="Producido" totalsRowFunction="sum" totalsRowDxfId="263" dataCellStyle="Comma"/>
    <tableColumn id="3" xr3:uid="{F7F6C810-1128-4415-AFDB-B82E0A4DBC3A}" name="Consumido" totalsRowFunction="sum" totalsRowDxfId="262" dataCellStyle="Comma"/>
    <tableColumn id="6" xr3:uid="{0256A9DB-708C-4B2B-980E-5D3BC38973AC}" name="Variante " totalsRowFunction="sum" dataDxfId="261" totalsRowDxfId="260" dataCellStyle="Comma">
      <calculatedColumnFormula>EnergiaSolar[[#This Row],[Producido]]-EnergiaSolar[[#This Row],[Consumido]]</calculatedColumnFormula>
    </tableColumn>
    <tableColumn id="5" xr3:uid="{08862AEC-74BD-43F5-95BD-E48E4B3923E3}" name="Variante barra" totalsRowFunction="sum" dataDxfId="259" totalsRowDxfId="258" dataCellStyle="Comma">
      <calculatedColumnFormula>EnergiaSolar[[#This Row],[Producido]]-EnergiaSolar[[#This Row],[Consumido]]</calculatedColumnFormula>
    </tableColumn>
    <tableColumn id="8" xr3:uid="{898BB584-60D2-4AD6-A900-503718DCB6AE}" name="Variante en $" dataDxfId="257" totalsRowDxfId="256" dataCellStyle="Comma">
      <calculatedColumnFormula array="1">EnergiaSolar[[#This Row],[Variante ]]*CostPerKwh[Precio Promedio Kwh]</calculatedColumnFormula>
    </tableColumn>
    <tableColumn id="4" xr3:uid="{D05124E4-18A1-4D45-9113-315037D4C91E}" name="Commentar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756981-8112-49BD-9E1C-D5CEFD6DF50A}" name="CostPerKwh" displayName="CostPerKwh" ref="K1:K2" totalsRowShown="0" headerRowDxfId="255" dataDxfId="254" tableBorderDxfId="253">
  <autoFilter ref="K1:K2" xr:uid="{54756981-8112-49BD-9E1C-D5CEFD6DF50A}"/>
  <tableColumns count="1">
    <tableColumn id="1" xr3:uid="{F63074B7-95DB-49D6-BE17-4FE2F9299661}" name="Precio Promedio Kwh" dataDxfId="2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7487B-406A-4D01-9924-C0D531E8312F}">
  <sheetPr codeName="Sheet2">
    <tabColor rgb="FF002060"/>
  </sheetPr>
  <dimension ref="A1:M660"/>
  <sheetViews>
    <sheetView showGridLines="0" workbookViewId="0">
      <pane ySplit="2" topLeftCell="A628" activePane="bottomLeft" state="frozen"/>
      <selection pane="bottomLeft" activeCell="D649" sqref="D649"/>
    </sheetView>
  </sheetViews>
  <sheetFormatPr defaultRowHeight="15" x14ac:dyDescent="0.25"/>
  <cols>
    <col min="1" max="1" width="10.7109375" bestFit="1" customWidth="1"/>
    <col min="2" max="2" width="10.7109375" customWidth="1"/>
    <col min="3" max="3" width="12.140625" customWidth="1"/>
    <col min="4" max="5" width="13.140625" customWidth="1"/>
    <col min="6" max="6" width="16.140625" customWidth="1"/>
    <col min="7" max="7" width="16.42578125" customWidth="1"/>
    <col min="8" max="8" width="27.42578125" customWidth="1"/>
    <col min="11" max="11" width="22.140625" customWidth="1"/>
    <col min="14" max="14" width="15" bestFit="1" customWidth="1"/>
    <col min="15" max="15" width="10.85546875" bestFit="1" customWidth="1"/>
    <col min="16" max="16" width="11.42578125" bestFit="1" customWidth="1"/>
  </cols>
  <sheetData>
    <row r="1" spans="1:11" ht="30.75" customHeight="1" thickBot="1" x14ac:dyDescent="0.3">
      <c r="E1" s="38" t="s">
        <v>31</v>
      </c>
      <c r="F1" s="49" t="s">
        <v>32</v>
      </c>
      <c r="G1" s="50"/>
      <c r="K1" s="38" t="s">
        <v>26</v>
      </c>
    </row>
    <row r="2" spans="1:11" x14ac:dyDescent="0.25">
      <c r="A2" t="s">
        <v>2</v>
      </c>
      <c r="B2" t="s">
        <v>8</v>
      </c>
      <c r="C2" t="s">
        <v>0</v>
      </c>
      <c r="D2" t="s">
        <v>3</v>
      </c>
      <c r="E2" t="s">
        <v>27</v>
      </c>
      <c r="F2" t="s">
        <v>29</v>
      </c>
      <c r="G2" t="s">
        <v>28</v>
      </c>
      <c r="H2" t="s">
        <v>4</v>
      </c>
      <c r="K2" s="39">
        <v>0.31</v>
      </c>
    </row>
    <row r="3" spans="1:11" x14ac:dyDescent="0.25">
      <c r="A3" s="2">
        <v>44676</v>
      </c>
      <c r="B3">
        <v>4</v>
      </c>
      <c r="C3" s="3">
        <v>5.9</v>
      </c>
      <c r="D3" s="3">
        <v>11</v>
      </c>
      <c r="E3" s="5">
        <f>EnergiaSolar[[#This Row],[Producido]]-EnergiaSolar[[#This Row],[Consumido]]</f>
        <v>-5.0999999999999996</v>
      </c>
      <c r="F3" s="3">
        <f>EnergiaSolar[[#This Row],[Producido]]-EnergiaSolar[[#This Row],[Consumido]]</f>
        <v>-5.0999999999999996</v>
      </c>
      <c r="G3" s="5" cm="1">
        <f t="array" ref="G3">EnergiaSolar[[#This Row],[Variante ]]*CostPerKwh[Precio Promedio Kwh]</f>
        <v>-1.581</v>
      </c>
    </row>
    <row r="4" spans="1:11" x14ac:dyDescent="0.25">
      <c r="A4" s="2">
        <v>44677</v>
      </c>
      <c r="B4">
        <v>4</v>
      </c>
      <c r="C4" s="3">
        <v>32.1</v>
      </c>
      <c r="D4" s="3">
        <v>32</v>
      </c>
      <c r="E4" s="5">
        <f>EnergiaSolar[[#This Row],[Producido]]-EnergiaSolar[[#This Row],[Consumido]]</f>
        <v>0.10000000000000142</v>
      </c>
      <c r="F4" s="3">
        <f>EnergiaSolar[[#This Row],[Producido]]-EnergiaSolar[[#This Row],[Consumido]]</f>
        <v>0.10000000000000142</v>
      </c>
      <c r="G4" s="5" cm="1">
        <f t="array" ref="G4">EnergiaSolar[[#This Row],[Variante ]]*CostPerKwh[Precio Promedio Kwh]</f>
        <v>3.100000000000044E-2</v>
      </c>
    </row>
    <row r="5" spans="1:11" x14ac:dyDescent="0.25">
      <c r="A5" s="2">
        <v>44678</v>
      </c>
      <c r="B5">
        <v>4</v>
      </c>
      <c r="C5" s="3">
        <v>27.9</v>
      </c>
      <c r="D5" s="3">
        <v>23</v>
      </c>
      <c r="E5" s="5">
        <f>EnergiaSolar[[#This Row],[Producido]]-EnergiaSolar[[#This Row],[Consumido]]</f>
        <v>4.8999999999999986</v>
      </c>
      <c r="F5" s="3">
        <f>EnergiaSolar[[#This Row],[Producido]]-EnergiaSolar[[#This Row],[Consumido]]</f>
        <v>4.8999999999999986</v>
      </c>
      <c r="G5" s="5" cm="1">
        <f t="array" ref="G5">EnergiaSolar[[#This Row],[Variante ]]*CostPerKwh[Precio Promedio Kwh]</f>
        <v>1.5189999999999995</v>
      </c>
    </row>
    <row r="6" spans="1:11" x14ac:dyDescent="0.25">
      <c r="A6" s="2">
        <v>44679</v>
      </c>
      <c r="B6">
        <v>4</v>
      </c>
      <c r="C6" s="3">
        <v>29.5</v>
      </c>
      <c r="D6" s="3">
        <v>23.7</v>
      </c>
      <c r="E6" s="5">
        <f>EnergiaSolar[[#This Row],[Producido]]-EnergiaSolar[[#This Row],[Consumido]]</f>
        <v>5.8000000000000007</v>
      </c>
      <c r="F6" s="3">
        <f>EnergiaSolar[[#This Row],[Producido]]-EnergiaSolar[[#This Row],[Consumido]]</f>
        <v>5.8000000000000007</v>
      </c>
      <c r="G6" s="5" cm="1">
        <f t="array" ref="G6">EnergiaSolar[[#This Row],[Variante ]]*CostPerKwh[Precio Promedio Kwh]</f>
        <v>1.7980000000000003</v>
      </c>
    </row>
    <row r="7" spans="1:11" x14ac:dyDescent="0.25">
      <c r="A7" s="2">
        <v>44680</v>
      </c>
      <c r="B7">
        <v>4</v>
      </c>
      <c r="C7" s="3">
        <v>30.1</v>
      </c>
      <c r="D7" s="3">
        <v>26</v>
      </c>
      <c r="E7" s="5">
        <f>EnergiaSolar[[#This Row],[Producido]]-EnergiaSolar[[#This Row],[Consumido]]</f>
        <v>4.1000000000000014</v>
      </c>
      <c r="F7" s="3">
        <f>EnergiaSolar[[#This Row],[Producido]]-EnergiaSolar[[#This Row],[Consumido]]</f>
        <v>4.1000000000000014</v>
      </c>
      <c r="G7" s="5" cm="1">
        <f t="array" ref="G7">EnergiaSolar[[#This Row],[Variante ]]*CostPerKwh[Precio Promedio Kwh]</f>
        <v>1.2710000000000004</v>
      </c>
    </row>
    <row r="8" spans="1:11" x14ac:dyDescent="0.25">
      <c r="A8" s="2">
        <v>44681</v>
      </c>
      <c r="B8">
        <v>4</v>
      </c>
      <c r="C8" s="3">
        <v>11.4</v>
      </c>
      <c r="D8" s="3">
        <v>16.100000000000001</v>
      </c>
      <c r="E8" s="5">
        <f>EnergiaSolar[[#This Row],[Producido]]-EnergiaSolar[[#This Row],[Consumido]]</f>
        <v>-4.7000000000000011</v>
      </c>
      <c r="F8" s="3">
        <f>EnergiaSolar[[#This Row],[Producido]]-EnergiaSolar[[#This Row],[Consumido]]</f>
        <v>-4.7000000000000011</v>
      </c>
      <c r="G8" s="5" cm="1">
        <f t="array" ref="G8">EnergiaSolar[[#This Row],[Variante ]]*CostPerKwh[Precio Promedio Kwh]</f>
        <v>-1.4570000000000003</v>
      </c>
    </row>
    <row r="9" spans="1:11" x14ac:dyDescent="0.25">
      <c r="A9" s="2">
        <v>44682</v>
      </c>
      <c r="B9">
        <v>4</v>
      </c>
      <c r="C9" s="3">
        <v>10</v>
      </c>
      <c r="D9" s="3">
        <v>17.899999999999999</v>
      </c>
      <c r="E9" s="5">
        <f>EnergiaSolar[[#This Row],[Producido]]-EnergiaSolar[[#This Row],[Consumido]]</f>
        <v>-7.8999999999999986</v>
      </c>
      <c r="F9" s="3">
        <f>EnergiaSolar[[#This Row],[Producido]]-EnergiaSolar[[#This Row],[Consumido]]</f>
        <v>-7.8999999999999986</v>
      </c>
      <c r="G9" s="5" cm="1">
        <f t="array" ref="G9">EnergiaSolar[[#This Row],[Variante ]]*CostPerKwh[Precio Promedio Kwh]</f>
        <v>-2.4489999999999994</v>
      </c>
    </row>
    <row r="10" spans="1:11" x14ac:dyDescent="0.25">
      <c r="A10" s="2">
        <v>44683</v>
      </c>
      <c r="B10">
        <v>4</v>
      </c>
      <c r="C10" s="3">
        <v>10.9</v>
      </c>
      <c r="D10" s="3">
        <v>16.8</v>
      </c>
      <c r="E10" s="5">
        <f>EnergiaSolar[[#This Row],[Producido]]-EnergiaSolar[[#This Row],[Consumido]]</f>
        <v>-5.9</v>
      </c>
      <c r="F10" s="3">
        <f>EnergiaSolar[[#This Row],[Producido]]-EnergiaSolar[[#This Row],[Consumido]]</f>
        <v>-5.9</v>
      </c>
      <c r="G10" s="5" cm="1">
        <f t="array" ref="G10">EnergiaSolar[[#This Row],[Variante ]]*CostPerKwh[Precio Promedio Kwh]</f>
        <v>-1.8290000000000002</v>
      </c>
    </row>
    <row r="11" spans="1:11" x14ac:dyDescent="0.25">
      <c r="A11" s="2">
        <v>44684</v>
      </c>
      <c r="B11">
        <v>4</v>
      </c>
      <c r="C11" s="3">
        <v>26.4</v>
      </c>
      <c r="D11" s="3">
        <v>30</v>
      </c>
      <c r="E11" s="5">
        <f>EnergiaSolar[[#This Row],[Producido]]-EnergiaSolar[[#This Row],[Consumido]]</f>
        <v>-3.6000000000000014</v>
      </c>
      <c r="F11" s="3">
        <f>EnergiaSolar[[#This Row],[Producido]]-EnergiaSolar[[#This Row],[Consumido]]</f>
        <v>-3.6000000000000014</v>
      </c>
      <c r="G11" s="5" cm="1">
        <f t="array" ref="G11">EnergiaSolar[[#This Row],[Variante ]]*CostPerKwh[Precio Promedio Kwh]</f>
        <v>-1.1160000000000003</v>
      </c>
    </row>
    <row r="12" spans="1:11" x14ac:dyDescent="0.25">
      <c r="A12" s="2">
        <v>44685</v>
      </c>
      <c r="B12">
        <v>4</v>
      </c>
      <c r="C12" s="3">
        <v>20.100000000000001</v>
      </c>
      <c r="D12" s="3">
        <v>25.8</v>
      </c>
      <c r="E12" s="5">
        <f>EnergiaSolar[[#This Row],[Producido]]-EnergiaSolar[[#This Row],[Consumido]]</f>
        <v>-5.6999999999999993</v>
      </c>
      <c r="F12" s="3">
        <f>EnergiaSolar[[#This Row],[Producido]]-EnergiaSolar[[#This Row],[Consumido]]</f>
        <v>-5.6999999999999993</v>
      </c>
      <c r="G12" s="5" cm="1">
        <f t="array" ref="G12">EnergiaSolar[[#This Row],[Variante ]]*CostPerKwh[Precio Promedio Kwh]</f>
        <v>-1.7669999999999997</v>
      </c>
    </row>
    <row r="13" spans="1:11" x14ac:dyDescent="0.25">
      <c r="A13" s="2">
        <v>44686</v>
      </c>
      <c r="B13">
        <v>4</v>
      </c>
      <c r="C13" s="3">
        <v>29.6</v>
      </c>
      <c r="D13" s="3">
        <v>31.1</v>
      </c>
      <c r="E13" s="5">
        <f>EnergiaSolar[[#This Row],[Producido]]-EnergiaSolar[[#This Row],[Consumido]]</f>
        <v>-1.5</v>
      </c>
      <c r="F13" s="3">
        <f>EnergiaSolar[[#This Row],[Producido]]-EnergiaSolar[[#This Row],[Consumido]]</f>
        <v>-1.5</v>
      </c>
      <c r="G13" s="5" cm="1">
        <f t="array" ref="G13">EnergiaSolar[[#This Row],[Variante ]]*CostPerKwh[Precio Promedio Kwh]</f>
        <v>-0.46499999999999997</v>
      </c>
    </row>
    <row r="14" spans="1:11" x14ac:dyDescent="0.25">
      <c r="A14" s="2">
        <v>44687</v>
      </c>
      <c r="B14">
        <v>4</v>
      </c>
      <c r="C14" s="3">
        <v>31.1</v>
      </c>
      <c r="D14" s="3">
        <v>33.6</v>
      </c>
      <c r="E14" s="5">
        <f>EnergiaSolar[[#This Row],[Producido]]-EnergiaSolar[[#This Row],[Consumido]]</f>
        <v>-2.5</v>
      </c>
      <c r="F14" s="3">
        <f>EnergiaSolar[[#This Row],[Producido]]-EnergiaSolar[[#This Row],[Consumido]]</f>
        <v>-2.5</v>
      </c>
      <c r="G14" s="5" cm="1">
        <f t="array" ref="G14">EnergiaSolar[[#This Row],[Variante ]]*CostPerKwh[Precio Promedio Kwh]</f>
        <v>-0.77500000000000002</v>
      </c>
    </row>
    <row r="15" spans="1:11" x14ac:dyDescent="0.25">
      <c r="A15" s="2">
        <v>44688</v>
      </c>
      <c r="B15">
        <v>4</v>
      </c>
      <c r="C15" s="3">
        <v>31</v>
      </c>
      <c r="D15" s="3">
        <v>27.1</v>
      </c>
      <c r="E15" s="5">
        <f>EnergiaSolar[[#This Row],[Producido]]-EnergiaSolar[[#This Row],[Consumido]]</f>
        <v>3.8999999999999986</v>
      </c>
      <c r="F15" s="3">
        <f>EnergiaSolar[[#This Row],[Producido]]-EnergiaSolar[[#This Row],[Consumido]]</f>
        <v>3.8999999999999986</v>
      </c>
      <c r="G15" s="5" cm="1">
        <f t="array" ref="G15">EnergiaSolar[[#This Row],[Variante ]]*CostPerKwh[Precio Promedio Kwh]</f>
        <v>1.2089999999999996</v>
      </c>
    </row>
    <row r="16" spans="1:11" x14ac:dyDescent="0.25">
      <c r="A16" s="2">
        <v>44689</v>
      </c>
      <c r="B16">
        <v>4</v>
      </c>
      <c r="C16" s="3">
        <v>30.3</v>
      </c>
      <c r="D16" s="3">
        <v>28.3</v>
      </c>
      <c r="E16" s="5">
        <f>EnergiaSolar[[#This Row],[Producido]]-EnergiaSolar[[#This Row],[Consumido]]</f>
        <v>2</v>
      </c>
      <c r="F16" s="3">
        <f>EnergiaSolar[[#This Row],[Producido]]-EnergiaSolar[[#This Row],[Consumido]]</f>
        <v>2</v>
      </c>
      <c r="G16" s="5" cm="1">
        <f t="array" ref="G16">EnergiaSolar[[#This Row],[Variante ]]*CostPerKwh[Precio Promedio Kwh]</f>
        <v>0.62</v>
      </c>
    </row>
    <row r="17" spans="1:7" x14ac:dyDescent="0.25">
      <c r="A17" s="2">
        <v>44690</v>
      </c>
      <c r="B17">
        <v>4</v>
      </c>
      <c r="C17" s="3">
        <v>29.4</v>
      </c>
      <c r="D17" s="3">
        <v>28.9</v>
      </c>
      <c r="E17" s="5">
        <f>EnergiaSolar[[#This Row],[Producido]]-EnergiaSolar[[#This Row],[Consumido]]</f>
        <v>0.5</v>
      </c>
      <c r="F17" s="3">
        <f>EnergiaSolar[[#This Row],[Producido]]-EnergiaSolar[[#This Row],[Consumido]]</f>
        <v>0.5</v>
      </c>
      <c r="G17" s="5" cm="1">
        <f t="array" ref="G17">EnergiaSolar[[#This Row],[Variante ]]*CostPerKwh[Precio Promedio Kwh]</f>
        <v>0.155</v>
      </c>
    </row>
    <row r="18" spans="1:7" x14ac:dyDescent="0.25">
      <c r="A18" s="2">
        <v>44691</v>
      </c>
      <c r="B18">
        <v>4</v>
      </c>
      <c r="C18" s="3">
        <v>27.5</v>
      </c>
      <c r="D18" s="3">
        <v>27.4</v>
      </c>
      <c r="E18" s="5">
        <f>EnergiaSolar[[#This Row],[Producido]]-EnergiaSolar[[#This Row],[Consumido]]</f>
        <v>0.10000000000000142</v>
      </c>
      <c r="F18" s="3">
        <f>EnergiaSolar[[#This Row],[Producido]]-EnergiaSolar[[#This Row],[Consumido]]</f>
        <v>0.10000000000000142</v>
      </c>
      <c r="G18" s="5" cm="1">
        <f t="array" ref="G18">EnergiaSolar[[#This Row],[Variante ]]*CostPerKwh[Precio Promedio Kwh]</f>
        <v>3.100000000000044E-2</v>
      </c>
    </row>
    <row r="19" spans="1:7" x14ac:dyDescent="0.25">
      <c r="A19" s="2">
        <v>44692</v>
      </c>
      <c r="B19">
        <v>4</v>
      </c>
      <c r="C19" s="3">
        <v>20</v>
      </c>
      <c r="D19" s="3">
        <v>28.8</v>
      </c>
      <c r="E19" s="5">
        <f>EnergiaSolar[[#This Row],[Producido]]-EnergiaSolar[[#This Row],[Consumido]]</f>
        <v>-8.8000000000000007</v>
      </c>
      <c r="F19" s="3">
        <f>EnergiaSolar[[#This Row],[Producido]]-EnergiaSolar[[#This Row],[Consumido]]</f>
        <v>-8.8000000000000007</v>
      </c>
      <c r="G19" s="5" cm="1">
        <f t="array" ref="G19">EnergiaSolar[[#This Row],[Variante ]]*CostPerKwh[Precio Promedio Kwh]</f>
        <v>-2.7280000000000002</v>
      </c>
    </row>
    <row r="20" spans="1:7" x14ac:dyDescent="0.25">
      <c r="A20" s="2">
        <v>44693</v>
      </c>
      <c r="B20">
        <v>4</v>
      </c>
      <c r="C20" s="3">
        <v>13.8</v>
      </c>
      <c r="D20" s="3">
        <v>26.1</v>
      </c>
      <c r="E20" s="5">
        <f>EnergiaSolar[[#This Row],[Producido]]-EnergiaSolar[[#This Row],[Consumido]]</f>
        <v>-12.3</v>
      </c>
      <c r="F20" s="3">
        <f>EnergiaSolar[[#This Row],[Producido]]-EnergiaSolar[[#This Row],[Consumido]]</f>
        <v>-12.3</v>
      </c>
      <c r="G20" s="5" cm="1">
        <f t="array" ref="G20">EnergiaSolar[[#This Row],[Variante ]]*CostPerKwh[Precio Promedio Kwh]</f>
        <v>-3.8130000000000002</v>
      </c>
    </row>
    <row r="21" spans="1:7" x14ac:dyDescent="0.25">
      <c r="A21" s="2">
        <v>44694</v>
      </c>
      <c r="B21">
        <v>5</v>
      </c>
      <c r="C21" s="3">
        <v>20.3</v>
      </c>
      <c r="D21" s="3">
        <v>26.7</v>
      </c>
      <c r="E21" s="5">
        <f>EnergiaSolar[[#This Row],[Producido]]-EnergiaSolar[[#This Row],[Consumido]]</f>
        <v>-6.3999999999999986</v>
      </c>
      <c r="F21" s="3">
        <f>EnergiaSolar[[#This Row],[Producido]]-EnergiaSolar[[#This Row],[Consumido]]</f>
        <v>-6.3999999999999986</v>
      </c>
      <c r="G21" s="5" cm="1">
        <f t="array" ref="G21">EnergiaSolar[[#This Row],[Variante ]]*CostPerKwh[Precio Promedio Kwh]</f>
        <v>-1.9839999999999995</v>
      </c>
    </row>
    <row r="22" spans="1:7" x14ac:dyDescent="0.25">
      <c r="A22" s="2">
        <v>44695</v>
      </c>
      <c r="B22">
        <v>5</v>
      </c>
      <c r="C22" s="3">
        <v>19.8</v>
      </c>
      <c r="D22" s="3">
        <v>25.2</v>
      </c>
      <c r="E22" s="5">
        <f>EnergiaSolar[[#This Row],[Producido]]-EnergiaSolar[[#This Row],[Consumido]]</f>
        <v>-5.3999999999999986</v>
      </c>
      <c r="F22" s="3">
        <f>EnergiaSolar[[#This Row],[Producido]]-EnergiaSolar[[#This Row],[Consumido]]</f>
        <v>-5.3999999999999986</v>
      </c>
      <c r="G22" s="5" cm="1">
        <f t="array" ref="G22">EnergiaSolar[[#This Row],[Variante ]]*CostPerKwh[Precio Promedio Kwh]</f>
        <v>-1.6739999999999995</v>
      </c>
    </row>
    <row r="23" spans="1:7" x14ac:dyDescent="0.25">
      <c r="A23" s="2">
        <v>44696</v>
      </c>
      <c r="B23">
        <v>5</v>
      </c>
      <c r="C23" s="3">
        <v>28.5</v>
      </c>
      <c r="D23" s="3">
        <v>29.4</v>
      </c>
      <c r="E23" s="5">
        <f>EnergiaSolar[[#This Row],[Producido]]-EnergiaSolar[[#This Row],[Consumido]]</f>
        <v>-0.89999999999999858</v>
      </c>
      <c r="F23" s="3">
        <f>EnergiaSolar[[#This Row],[Producido]]-EnergiaSolar[[#This Row],[Consumido]]</f>
        <v>-0.89999999999999858</v>
      </c>
      <c r="G23" s="5" cm="1">
        <f t="array" ref="G23">EnergiaSolar[[#This Row],[Variante ]]*CostPerKwh[Precio Promedio Kwh]</f>
        <v>-0.27899999999999958</v>
      </c>
    </row>
    <row r="24" spans="1:7" x14ac:dyDescent="0.25">
      <c r="A24" s="2">
        <v>44697</v>
      </c>
      <c r="B24">
        <v>5</v>
      </c>
      <c r="C24" s="3">
        <v>27</v>
      </c>
      <c r="D24" s="3">
        <v>25.2</v>
      </c>
      <c r="E24" s="5">
        <f>EnergiaSolar[[#This Row],[Producido]]-EnergiaSolar[[#This Row],[Consumido]]</f>
        <v>1.8000000000000007</v>
      </c>
      <c r="F24" s="3">
        <f>EnergiaSolar[[#This Row],[Producido]]-EnergiaSolar[[#This Row],[Consumido]]</f>
        <v>1.8000000000000007</v>
      </c>
      <c r="G24" s="5" cm="1">
        <f t="array" ref="G24">EnergiaSolar[[#This Row],[Variante ]]*CostPerKwh[Precio Promedio Kwh]</f>
        <v>0.55800000000000016</v>
      </c>
    </row>
    <row r="25" spans="1:7" x14ac:dyDescent="0.25">
      <c r="A25" s="2">
        <v>44698</v>
      </c>
      <c r="B25">
        <v>5</v>
      </c>
      <c r="C25" s="3">
        <v>22.1</v>
      </c>
      <c r="D25" s="3">
        <v>28.1</v>
      </c>
      <c r="E25" s="5">
        <f>EnergiaSolar[[#This Row],[Producido]]-EnergiaSolar[[#This Row],[Consumido]]</f>
        <v>-6</v>
      </c>
      <c r="F25" s="3">
        <f>EnergiaSolar[[#This Row],[Producido]]-EnergiaSolar[[#This Row],[Consumido]]</f>
        <v>-6</v>
      </c>
      <c r="G25" s="5" cm="1">
        <f t="array" ref="G25">EnergiaSolar[[#This Row],[Variante ]]*CostPerKwh[Precio Promedio Kwh]</f>
        <v>-1.8599999999999999</v>
      </c>
    </row>
    <row r="26" spans="1:7" x14ac:dyDescent="0.25">
      <c r="A26" s="2">
        <v>44699</v>
      </c>
      <c r="B26">
        <v>5</v>
      </c>
      <c r="C26" s="3">
        <v>30.6</v>
      </c>
      <c r="D26" s="3">
        <v>27.8</v>
      </c>
      <c r="E26" s="5">
        <f>EnergiaSolar[[#This Row],[Producido]]-EnergiaSolar[[#This Row],[Consumido]]</f>
        <v>2.8000000000000007</v>
      </c>
      <c r="F26" s="3">
        <f>EnergiaSolar[[#This Row],[Producido]]-EnergiaSolar[[#This Row],[Consumido]]</f>
        <v>2.8000000000000007</v>
      </c>
      <c r="G26" s="5" cm="1">
        <f t="array" ref="G26">EnergiaSolar[[#This Row],[Variante ]]*CostPerKwh[Precio Promedio Kwh]</f>
        <v>0.86800000000000022</v>
      </c>
    </row>
    <row r="27" spans="1:7" x14ac:dyDescent="0.25">
      <c r="A27" s="2">
        <v>44700</v>
      </c>
      <c r="B27">
        <v>5</v>
      </c>
      <c r="C27" s="3">
        <v>31</v>
      </c>
      <c r="D27" s="3">
        <v>41.6</v>
      </c>
      <c r="E27" s="5">
        <f>EnergiaSolar[[#This Row],[Producido]]-EnergiaSolar[[#This Row],[Consumido]]</f>
        <v>-10.600000000000001</v>
      </c>
      <c r="F27" s="3">
        <f>EnergiaSolar[[#This Row],[Producido]]-EnergiaSolar[[#This Row],[Consumido]]</f>
        <v>-10.600000000000001</v>
      </c>
      <c r="G27" s="5" cm="1">
        <f t="array" ref="G27">EnergiaSolar[[#This Row],[Variante ]]*CostPerKwh[Precio Promedio Kwh]</f>
        <v>-3.2860000000000005</v>
      </c>
    </row>
    <row r="28" spans="1:7" x14ac:dyDescent="0.25">
      <c r="A28" s="2">
        <v>44701</v>
      </c>
      <c r="B28">
        <v>5</v>
      </c>
      <c r="C28" s="3">
        <v>31.3</v>
      </c>
      <c r="D28" s="3">
        <v>35.5</v>
      </c>
      <c r="E28" s="5">
        <f>EnergiaSolar[[#This Row],[Producido]]-EnergiaSolar[[#This Row],[Consumido]]</f>
        <v>-4.1999999999999993</v>
      </c>
      <c r="F28" s="3">
        <f>EnergiaSolar[[#This Row],[Producido]]-EnergiaSolar[[#This Row],[Consumido]]</f>
        <v>-4.1999999999999993</v>
      </c>
      <c r="G28" s="5" cm="1">
        <f t="array" ref="G28">EnergiaSolar[[#This Row],[Variante ]]*CostPerKwh[Precio Promedio Kwh]</f>
        <v>-1.3019999999999998</v>
      </c>
    </row>
    <row r="29" spans="1:7" x14ac:dyDescent="0.25">
      <c r="A29" s="2">
        <v>44702</v>
      </c>
      <c r="B29">
        <v>5</v>
      </c>
      <c r="C29" s="3">
        <v>28</v>
      </c>
      <c r="D29" s="3">
        <v>35.299999999999997</v>
      </c>
      <c r="E29" s="5">
        <f>EnergiaSolar[[#This Row],[Producido]]-EnergiaSolar[[#This Row],[Consumido]]</f>
        <v>-7.2999999999999972</v>
      </c>
      <c r="F29" s="3">
        <f>EnergiaSolar[[#This Row],[Producido]]-EnergiaSolar[[#This Row],[Consumido]]</f>
        <v>-7.2999999999999972</v>
      </c>
      <c r="G29" s="5" cm="1">
        <f t="array" ref="G29">EnergiaSolar[[#This Row],[Variante ]]*CostPerKwh[Precio Promedio Kwh]</f>
        <v>-2.262999999999999</v>
      </c>
    </row>
    <row r="30" spans="1:7" x14ac:dyDescent="0.25">
      <c r="A30" s="2">
        <v>44703</v>
      </c>
      <c r="B30">
        <v>5</v>
      </c>
      <c r="C30" s="3">
        <v>24.5</v>
      </c>
      <c r="D30" s="3">
        <v>26.4</v>
      </c>
      <c r="E30" s="5">
        <f>EnergiaSolar[[#This Row],[Producido]]-EnergiaSolar[[#This Row],[Consumido]]</f>
        <v>-1.8999999999999986</v>
      </c>
      <c r="F30" s="3">
        <f>EnergiaSolar[[#This Row],[Producido]]-EnergiaSolar[[#This Row],[Consumido]]</f>
        <v>-1.8999999999999986</v>
      </c>
      <c r="G30" s="5" cm="1">
        <f t="array" ref="G30">EnergiaSolar[[#This Row],[Variante ]]*CostPerKwh[Precio Promedio Kwh]</f>
        <v>-0.58899999999999952</v>
      </c>
    </row>
    <row r="31" spans="1:7" x14ac:dyDescent="0.25">
      <c r="A31" s="2">
        <v>44704</v>
      </c>
      <c r="B31">
        <v>5</v>
      </c>
      <c r="C31" s="3">
        <v>26.3</v>
      </c>
      <c r="D31" s="3">
        <v>29.5</v>
      </c>
      <c r="E31" s="5">
        <f>EnergiaSolar[[#This Row],[Producido]]-EnergiaSolar[[#This Row],[Consumido]]</f>
        <v>-3.1999999999999993</v>
      </c>
      <c r="F31" s="3">
        <f>EnergiaSolar[[#This Row],[Producido]]-EnergiaSolar[[#This Row],[Consumido]]</f>
        <v>-3.1999999999999993</v>
      </c>
      <c r="G31" s="5" cm="1">
        <f t="array" ref="G31">EnergiaSolar[[#This Row],[Variante ]]*CostPerKwh[Precio Promedio Kwh]</f>
        <v>-0.99199999999999977</v>
      </c>
    </row>
    <row r="32" spans="1:7" x14ac:dyDescent="0.25">
      <c r="A32" s="2">
        <v>44705</v>
      </c>
      <c r="B32">
        <v>5</v>
      </c>
      <c r="C32" s="3">
        <v>23.9</v>
      </c>
      <c r="D32" s="3">
        <v>24</v>
      </c>
      <c r="E32" s="5">
        <f>EnergiaSolar[[#This Row],[Producido]]-EnergiaSolar[[#This Row],[Consumido]]</f>
        <v>-0.10000000000000142</v>
      </c>
      <c r="F32" s="3">
        <f>EnergiaSolar[[#This Row],[Producido]]-EnergiaSolar[[#This Row],[Consumido]]</f>
        <v>-0.10000000000000142</v>
      </c>
      <c r="G32" s="5" cm="1">
        <f t="array" ref="G32">EnergiaSolar[[#This Row],[Variante ]]*CostPerKwh[Precio Promedio Kwh]</f>
        <v>-3.100000000000044E-2</v>
      </c>
    </row>
    <row r="33" spans="1:7" x14ac:dyDescent="0.25">
      <c r="A33" s="2">
        <v>44706</v>
      </c>
      <c r="B33">
        <v>5</v>
      </c>
      <c r="C33" s="3">
        <v>21.6</v>
      </c>
      <c r="D33" s="3">
        <v>26.1</v>
      </c>
      <c r="E33" s="5">
        <f>EnergiaSolar[[#This Row],[Producido]]-EnergiaSolar[[#This Row],[Consumido]]</f>
        <v>-4.5</v>
      </c>
      <c r="F33" s="3">
        <f>EnergiaSolar[[#This Row],[Producido]]-EnergiaSolar[[#This Row],[Consumido]]</f>
        <v>-4.5</v>
      </c>
      <c r="G33" s="5" cm="1">
        <f t="array" ref="G33">EnergiaSolar[[#This Row],[Variante ]]*CostPerKwh[Precio Promedio Kwh]</f>
        <v>-1.395</v>
      </c>
    </row>
    <row r="34" spans="1:7" x14ac:dyDescent="0.25">
      <c r="A34" s="2">
        <v>44707</v>
      </c>
      <c r="B34">
        <v>5</v>
      </c>
      <c r="C34" s="3">
        <v>26.4</v>
      </c>
      <c r="D34" s="3">
        <v>29.2</v>
      </c>
      <c r="E34" s="5">
        <f>EnergiaSolar[[#This Row],[Producido]]-EnergiaSolar[[#This Row],[Consumido]]</f>
        <v>-2.8000000000000007</v>
      </c>
      <c r="F34" s="3">
        <f>EnergiaSolar[[#This Row],[Producido]]-EnergiaSolar[[#This Row],[Consumido]]</f>
        <v>-2.8000000000000007</v>
      </c>
      <c r="G34" s="5" cm="1">
        <f t="array" ref="G34">EnergiaSolar[[#This Row],[Variante ]]*CostPerKwh[Precio Promedio Kwh]</f>
        <v>-0.86800000000000022</v>
      </c>
    </row>
    <row r="35" spans="1:7" x14ac:dyDescent="0.25">
      <c r="A35" s="2">
        <v>44708</v>
      </c>
      <c r="B35">
        <v>5</v>
      </c>
      <c r="C35" s="3">
        <v>27.8</v>
      </c>
      <c r="D35" s="3">
        <v>26.4</v>
      </c>
      <c r="E35" s="5">
        <f>EnergiaSolar[[#This Row],[Producido]]-EnergiaSolar[[#This Row],[Consumido]]</f>
        <v>1.4000000000000021</v>
      </c>
      <c r="F35" s="3">
        <f>EnergiaSolar[[#This Row],[Producido]]-EnergiaSolar[[#This Row],[Consumido]]</f>
        <v>1.4000000000000021</v>
      </c>
      <c r="G35" s="5" cm="1">
        <f t="array" ref="G35">EnergiaSolar[[#This Row],[Variante ]]*CostPerKwh[Precio Promedio Kwh]</f>
        <v>0.43400000000000066</v>
      </c>
    </row>
    <row r="36" spans="1:7" x14ac:dyDescent="0.25">
      <c r="A36" s="2">
        <v>44709</v>
      </c>
      <c r="B36">
        <v>5</v>
      </c>
      <c r="C36" s="3">
        <v>26.6</v>
      </c>
      <c r="D36" s="3">
        <v>25</v>
      </c>
      <c r="E36" s="5">
        <f>EnergiaSolar[[#This Row],[Producido]]-EnergiaSolar[[#This Row],[Consumido]]</f>
        <v>1.6000000000000014</v>
      </c>
      <c r="F36" s="3">
        <f>EnergiaSolar[[#This Row],[Producido]]-EnergiaSolar[[#This Row],[Consumido]]</f>
        <v>1.6000000000000014</v>
      </c>
      <c r="G36" s="5" cm="1">
        <f t="array" ref="G36">EnergiaSolar[[#This Row],[Variante ]]*CostPerKwh[Precio Promedio Kwh]</f>
        <v>0.49600000000000044</v>
      </c>
    </row>
    <row r="37" spans="1:7" x14ac:dyDescent="0.25">
      <c r="A37" s="2">
        <v>44710</v>
      </c>
      <c r="B37">
        <v>5</v>
      </c>
      <c r="C37" s="3">
        <v>11.2</v>
      </c>
      <c r="D37" s="3">
        <v>26.6</v>
      </c>
      <c r="E37" s="5">
        <f>EnergiaSolar[[#This Row],[Producido]]-EnergiaSolar[[#This Row],[Consumido]]</f>
        <v>-15.400000000000002</v>
      </c>
      <c r="F37" s="3">
        <f>EnergiaSolar[[#This Row],[Producido]]-EnergiaSolar[[#This Row],[Consumido]]</f>
        <v>-15.400000000000002</v>
      </c>
      <c r="G37" s="5" cm="1">
        <f t="array" ref="G37">EnergiaSolar[[#This Row],[Variante ]]*CostPerKwh[Precio Promedio Kwh]</f>
        <v>-4.7740000000000009</v>
      </c>
    </row>
    <row r="38" spans="1:7" x14ac:dyDescent="0.25">
      <c r="A38" s="2">
        <v>44711</v>
      </c>
      <c r="B38">
        <v>5</v>
      </c>
      <c r="C38" s="3">
        <v>24.5</v>
      </c>
      <c r="D38" s="3">
        <v>30.6</v>
      </c>
      <c r="E38" s="5">
        <f>EnergiaSolar[[#This Row],[Producido]]-EnergiaSolar[[#This Row],[Consumido]]</f>
        <v>-6.1000000000000014</v>
      </c>
      <c r="F38" s="3">
        <f>EnergiaSolar[[#This Row],[Producido]]-EnergiaSolar[[#This Row],[Consumido]]</f>
        <v>-6.1000000000000014</v>
      </c>
      <c r="G38" s="5" cm="1">
        <f t="array" ref="G38">EnergiaSolar[[#This Row],[Variante ]]*CostPerKwh[Precio Promedio Kwh]</f>
        <v>-1.8910000000000005</v>
      </c>
    </row>
    <row r="39" spans="1:7" x14ac:dyDescent="0.25">
      <c r="A39" s="2">
        <v>44712</v>
      </c>
      <c r="B39">
        <v>5</v>
      </c>
      <c r="C39" s="3">
        <v>26.2</v>
      </c>
      <c r="D39" s="3">
        <v>28.6</v>
      </c>
      <c r="E39" s="5">
        <f>EnergiaSolar[[#This Row],[Producido]]-EnergiaSolar[[#This Row],[Consumido]]</f>
        <v>-2.4000000000000021</v>
      </c>
      <c r="F39" s="3">
        <f>EnergiaSolar[[#This Row],[Producido]]-EnergiaSolar[[#This Row],[Consumido]]</f>
        <v>-2.4000000000000021</v>
      </c>
      <c r="G39" s="5" cm="1">
        <f t="array" ref="G39">EnergiaSolar[[#This Row],[Variante ]]*CostPerKwh[Precio Promedio Kwh]</f>
        <v>-0.74400000000000066</v>
      </c>
    </row>
    <row r="40" spans="1:7" x14ac:dyDescent="0.25">
      <c r="A40" s="2">
        <v>44713</v>
      </c>
      <c r="B40">
        <v>5</v>
      </c>
      <c r="C40" s="3">
        <v>26.9</v>
      </c>
      <c r="D40" s="3">
        <v>33</v>
      </c>
      <c r="E40" s="5">
        <f>EnergiaSolar[[#This Row],[Producido]]-EnergiaSolar[[#This Row],[Consumido]]</f>
        <v>-6.1000000000000014</v>
      </c>
      <c r="F40" s="3">
        <f>EnergiaSolar[[#This Row],[Producido]]-EnergiaSolar[[#This Row],[Consumido]]</f>
        <v>-6.1000000000000014</v>
      </c>
      <c r="G40" s="5" cm="1">
        <f t="array" ref="G40">EnergiaSolar[[#This Row],[Variante ]]*CostPerKwh[Precio Promedio Kwh]</f>
        <v>-1.8910000000000005</v>
      </c>
    </row>
    <row r="41" spans="1:7" x14ac:dyDescent="0.25">
      <c r="A41" s="2">
        <v>44714</v>
      </c>
      <c r="B41">
        <v>5</v>
      </c>
      <c r="C41" s="3">
        <v>13.5</v>
      </c>
      <c r="D41" s="3">
        <v>29.3</v>
      </c>
      <c r="E41" s="5">
        <f>EnergiaSolar[[#This Row],[Producido]]-EnergiaSolar[[#This Row],[Consumido]]</f>
        <v>-15.8</v>
      </c>
      <c r="F41" s="3">
        <f>EnergiaSolar[[#This Row],[Producido]]-EnergiaSolar[[#This Row],[Consumido]]</f>
        <v>-15.8</v>
      </c>
      <c r="G41" s="5" cm="1">
        <f t="array" ref="G41">EnergiaSolar[[#This Row],[Variante ]]*CostPerKwh[Precio Promedio Kwh]</f>
        <v>-4.8980000000000006</v>
      </c>
    </row>
    <row r="42" spans="1:7" x14ac:dyDescent="0.25">
      <c r="A42" s="2">
        <v>44715</v>
      </c>
      <c r="B42">
        <v>5</v>
      </c>
      <c r="C42" s="3">
        <v>31.2</v>
      </c>
      <c r="D42" s="3">
        <v>37.1</v>
      </c>
      <c r="E42" s="5">
        <f>EnergiaSolar[[#This Row],[Producido]]-EnergiaSolar[[#This Row],[Consumido]]</f>
        <v>-5.9000000000000021</v>
      </c>
      <c r="F42" s="3">
        <f>EnergiaSolar[[#This Row],[Producido]]-EnergiaSolar[[#This Row],[Consumido]]</f>
        <v>-5.9000000000000021</v>
      </c>
      <c r="G42" s="5" cm="1">
        <f t="array" ref="G42">EnergiaSolar[[#This Row],[Variante ]]*CostPerKwh[Precio Promedio Kwh]</f>
        <v>-1.8290000000000006</v>
      </c>
    </row>
    <row r="43" spans="1:7" x14ac:dyDescent="0.25">
      <c r="A43" s="2">
        <v>44716</v>
      </c>
      <c r="B43">
        <v>5</v>
      </c>
      <c r="C43" s="3">
        <v>32.6</v>
      </c>
      <c r="D43" s="3">
        <v>42</v>
      </c>
      <c r="E43" s="5">
        <f>EnergiaSolar[[#This Row],[Producido]]-EnergiaSolar[[#This Row],[Consumido]]</f>
        <v>-9.3999999999999986</v>
      </c>
      <c r="F43" s="3">
        <f>EnergiaSolar[[#This Row],[Producido]]-EnergiaSolar[[#This Row],[Consumido]]</f>
        <v>-9.3999999999999986</v>
      </c>
      <c r="G43" s="5" cm="1">
        <f t="array" ref="G43">EnergiaSolar[[#This Row],[Variante ]]*CostPerKwh[Precio Promedio Kwh]</f>
        <v>-2.9139999999999997</v>
      </c>
    </row>
    <row r="44" spans="1:7" x14ac:dyDescent="0.25">
      <c r="A44" s="2">
        <v>44717</v>
      </c>
      <c r="B44">
        <v>5</v>
      </c>
      <c r="C44" s="3">
        <v>29.5</v>
      </c>
      <c r="D44" s="3">
        <v>38.700000000000003</v>
      </c>
      <c r="E44" s="5">
        <f>EnergiaSolar[[#This Row],[Producido]]-EnergiaSolar[[#This Row],[Consumido]]</f>
        <v>-9.2000000000000028</v>
      </c>
      <c r="F44" s="3">
        <f>EnergiaSolar[[#This Row],[Producido]]-EnergiaSolar[[#This Row],[Consumido]]</f>
        <v>-9.2000000000000028</v>
      </c>
      <c r="G44" s="5" cm="1">
        <f t="array" ref="G44">EnergiaSolar[[#This Row],[Variante ]]*CostPerKwh[Precio Promedio Kwh]</f>
        <v>-2.8520000000000008</v>
      </c>
    </row>
    <row r="45" spans="1:7" x14ac:dyDescent="0.25">
      <c r="A45" s="2">
        <v>44718</v>
      </c>
      <c r="B45">
        <v>5</v>
      </c>
      <c r="C45" s="3">
        <v>32.1</v>
      </c>
      <c r="D45" s="3">
        <v>38.4</v>
      </c>
      <c r="E45" s="5">
        <f>EnergiaSolar[[#This Row],[Producido]]-EnergiaSolar[[#This Row],[Consumido]]</f>
        <v>-6.2999999999999972</v>
      </c>
      <c r="F45" s="3">
        <f>EnergiaSolar[[#This Row],[Producido]]-EnergiaSolar[[#This Row],[Consumido]]</f>
        <v>-6.2999999999999972</v>
      </c>
      <c r="G45" s="5" cm="1">
        <f t="array" ref="G45">EnergiaSolar[[#This Row],[Variante ]]*CostPerKwh[Precio Promedio Kwh]</f>
        <v>-1.9529999999999992</v>
      </c>
    </row>
    <row r="46" spans="1:7" x14ac:dyDescent="0.25">
      <c r="A46" s="2">
        <v>44719</v>
      </c>
      <c r="B46">
        <v>5</v>
      </c>
      <c r="C46" s="3">
        <v>24</v>
      </c>
      <c r="D46" s="3">
        <v>33</v>
      </c>
      <c r="E46" s="5">
        <f>EnergiaSolar[[#This Row],[Producido]]-EnergiaSolar[[#This Row],[Consumido]]</f>
        <v>-9</v>
      </c>
      <c r="F46" s="3">
        <f>EnergiaSolar[[#This Row],[Producido]]-EnergiaSolar[[#This Row],[Consumido]]</f>
        <v>-9</v>
      </c>
      <c r="G46" s="5" cm="1">
        <f t="array" ref="G46">EnergiaSolar[[#This Row],[Variante ]]*CostPerKwh[Precio Promedio Kwh]</f>
        <v>-2.79</v>
      </c>
    </row>
    <row r="47" spans="1:7" x14ac:dyDescent="0.25">
      <c r="A47" s="2">
        <v>44720</v>
      </c>
      <c r="B47">
        <v>5</v>
      </c>
      <c r="C47" s="3">
        <v>27.7</v>
      </c>
      <c r="D47" s="3">
        <v>32.1</v>
      </c>
      <c r="E47" s="5">
        <f>EnergiaSolar[[#This Row],[Producido]]-EnergiaSolar[[#This Row],[Consumido]]</f>
        <v>-4.4000000000000021</v>
      </c>
      <c r="F47" s="3">
        <f>EnergiaSolar[[#This Row],[Producido]]-EnergiaSolar[[#This Row],[Consumido]]</f>
        <v>-4.4000000000000021</v>
      </c>
      <c r="G47" s="5" cm="1">
        <f t="array" ref="G47">EnergiaSolar[[#This Row],[Variante ]]*CostPerKwh[Precio Promedio Kwh]</f>
        <v>-1.3640000000000005</v>
      </c>
    </row>
    <row r="48" spans="1:7" x14ac:dyDescent="0.25">
      <c r="A48" s="2">
        <v>44721</v>
      </c>
      <c r="B48">
        <v>5</v>
      </c>
      <c r="C48" s="3">
        <v>22.7</v>
      </c>
      <c r="D48" s="3">
        <v>30.7</v>
      </c>
      <c r="E48" s="5">
        <f>EnergiaSolar[[#This Row],[Producido]]-EnergiaSolar[[#This Row],[Consumido]]</f>
        <v>-8</v>
      </c>
      <c r="F48" s="3">
        <f>EnergiaSolar[[#This Row],[Producido]]-EnergiaSolar[[#This Row],[Consumido]]</f>
        <v>-8</v>
      </c>
      <c r="G48" s="5" cm="1">
        <f t="array" ref="G48">EnergiaSolar[[#This Row],[Variante ]]*CostPerKwh[Precio Promedio Kwh]</f>
        <v>-2.48</v>
      </c>
    </row>
    <row r="49" spans="1:7" x14ac:dyDescent="0.25">
      <c r="A49" s="2">
        <v>44722</v>
      </c>
      <c r="B49">
        <v>5</v>
      </c>
      <c r="C49" s="3">
        <v>23.8</v>
      </c>
      <c r="D49" s="3">
        <v>36</v>
      </c>
      <c r="E49" s="5">
        <f>EnergiaSolar[[#This Row],[Producido]]-EnergiaSolar[[#This Row],[Consumido]]</f>
        <v>-12.2</v>
      </c>
      <c r="F49" s="3">
        <f>EnergiaSolar[[#This Row],[Producido]]-EnergiaSolar[[#This Row],[Consumido]]</f>
        <v>-12.2</v>
      </c>
      <c r="G49" s="5" cm="1">
        <f t="array" ref="G49">EnergiaSolar[[#This Row],[Variante ]]*CostPerKwh[Precio Promedio Kwh]</f>
        <v>-3.7819999999999996</v>
      </c>
    </row>
    <row r="50" spans="1:7" x14ac:dyDescent="0.25">
      <c r="A50" s="2">
        <v>44723</v>
      </c>
      <c r="B50">
        <v>5</v>
      </c>
      <c r="C50" s="3">
        <v>14.9</v>
      </c>
      <c r="D50" s="3">
        <v>24.7</v>
      </c>
      <c r="E50" s="5">
        <f>EnergiaSolar[[#This Row],[Producido]]-EnergiaSolar[[#This Row],[Consumido]]</f>
        <v>-9.7999999999999989</v>
      </c>
      <c r="F50" s="3">
        <f>EnergiaSolar[[#This Row],[Producido]]-EnergiaSolar[[#This Row],[Consumido]]</f>
        <v>-9.7999999999999989</v>
      </c>
      <c r="G50" s="5" cm="1">
        <f t="array" ref="G50">EnergiaSolar[[#This Row],[Variante ]]*CostPerKwh[Precio Promedio Kwh]</f>
        <v>-3.0379999999999998</v>
      </c>
    </row>
    <row r="51" spans="1:7" x14ac:dyDescent="0.25">
      <c r="A51" s="2">
        <v>44724</v>
      </c>
      <c r="B51">
        <v>5</v>
      </c>
      <c r="C51" s="3">
        <v>28.1</v>
      </c>
      <c r="D51" s="3">
        <v>27.4</v>
      </c>
      <c r="E51" s="5">
        <f>EnergiaSolar[[#This Row],[Producido]]-EnergiaSolar[[#This Row],[Consumido]]</f>
        <v>0.70000000000000284</v>
      </c>
      <c r="F51" s="3">
        <f>EnergiaSolar[[#This Row],[Producido]]-EnergiaSolar[[#This Row],[Consumido]]</f>
        <v>0.70000000000000284</v>
      </c>
      <c r="G51" s="5" cm="1">
        <f t="array" ref="G51">EnergiaSolar[[#This Row],[Variante ]]*CostPerKwh[Precio Promedio Kwh]</f>
        <v>0.21700000000000089</v>
      </c>
    </row>
    <row r="52" spans="1:7" x14ac:dyDescent="0.25">
      <c r="A52" s="2">
        <v>44725</v>
      </c>
      <c r="B52">
        <v>6</v>
      </c>
      <c r="C52" s="3">
        <v>28.6</v>
      </c>
      <c r="D52" s="3">
        <v>29.2</v>
      </c>
      <c r="E52" s="5">
        <f>EnergiaSolar[[#This Row],[Producido]]-EnergiaSolar[[#This Row],[Consumido]]</f>
        <v>-0.59999999999999787</v>
      </c>
      <c r="F52" s="3">
        <f>EnergiaSolar[[#This Row],[Producido]]-EnergiaSolar[[#This Row],[Consumido]]</f>
        <v>-0.59999999999999787</v>
      </c>
      <c r="G52" s="5" cm="1">
        <f t="array" ref="G52">EnergiaSolar[[#This Row],[Variante ]]*CostPerKwh[Precio Promedio Kwh]</f>
        <v>-0.18599999999999933</v>
      </c>
    </row>
    <row r="53" spans="1:7" x14ac:dyDescent="0.25">
      <c r="A53" s="2">
        <v>44726</v>
      </c>
      <c r="B53">
        <v>6</v>
      </c>
      <c r="C53" s="3">
        <v>19.899999999999999</v>
      </c>
      <c r="D53" s="3">
        <v>26.3</v>
      </c>
      <c r="E53" s="5">
        <f>EnergiaSolar[[#This Row],[Producido]]-EnergiaSolar[[#This Row],[Consumido]]</f>
        <v>-6.4000000000000021</v>
      </c>
      <c r="F53" s="3">
        <f>EnergiaSolar[[#This Row],[Producido]]-EnergiaSolar[[#This Row],[Consumido]]</f>
        <v>-6.4000000000000021</v>
      </c>
      <c r="G53" s="5" cm="1">
        <f t="array" ref="G53">EnergiaSolar[[#This Row],[Variante ]]*CostPerKwh[Precio Promedio Kwh]</f>
        <v>-1.9840000000000007</v>
      </c>
    </row>
    <row r="54" spans="1:7" x14ac:dyDescent="0.25">
      <c r="A54" s="2">
        <v>44727</v>
      </c>
      <c r="B54">
        <v>6</v>
      </c>
      <c r="C54" s="3">
        <v>17.8</v>
      </c>
      <c r="D54" s="3">
        <v>26.7</v>
      </c>
      <c r="E54" s="5">
        <f>EnergiaSolar[[#This Row],[Producido]]-EnergiaSolar[[#This Row],[Consumido]]</f>
        <v>-8.8999999999999986</v>
      </c>
      <c r="F54" s="3">
        <f>EnergiaSolar[[#This Row],[Producido]]-EnergiaSolar[[#This Row],[Consumido]]</f>
        <v>-8.8999999999999986</v>
      </c>
      <c r="G54" s="5" cm="1">
        <f t="array" ref="G54">EnergiaSolar[[#This Row],[Variante ]]*CostPerKwh[Precio Promedio Kwh]</f>
        <v>-2.7589999999999995</v>
      </c>
    </row>
    <row r="55" spans="1:7" x14ac:dyDescent="0.25">
      <c r="A55" s="2">
        <v>44728</v>
      </c>
      <c r="B55">
        <v>6</v>
      </c>
      <c r="C55" s="3">
        <v>19.899999999999999</v>
      </c>
      <c r="D55" s="3">
        <v>27.2</v>
      </c>
      <c r="E55" s="5">
        <f>EnergiaSolar[[#This Row],[Producido]]-EnergiaSolar[[#This Row],[Consumido]]</f>
        <v>-7.3000000000000007</v>
      </c>
      <c r="F55" s="3">
        <f>EnergiaSolar[[#This Row],[Producido]]-EnergiaSolar[[#This Row],[Consumido]]</f>
        <v>-7.3000000000000007</v>
      </c>
      <c r="G55" s="5" cm="1">
        <f t="array" ref="G55">EnergiaSolar[[#This Row],[Variante ]]*CostPerKwh[Precio Promedio Kwh]</f>
        <v>-2.2630000000000003</v>
      </c>
    </row>
    <row r="56" spans="1:7" x14ac:dyDescent="0.25">
      <c r="A56" s="2">
        <v>44729</v>
      </c>
      <c r="B56">
        <v>6</v>
      </c>
      <c r="C56" s="3">
        <v>22.4</v>
      </c>
      <c r="D56" s="3">
        <v>32.6</v>
      </c>
      <c r="E56" s="5">
        <f>EnergiaSolar[[#This Row],[Producido]]-EnergiaSolar[[#This Row],[Consumido]]</f>
        <v>-10.200000000000003</v>
      </c>
      <c r="F56" s="3">
        <f>EnergiaSolar[[#This Row],[Producido]]-EnergiaSolar[[#This Row],[Consumido]]</f>
        <v>-10.200000000000003</v>
      </c>
      <c r="G56" s="5" cm="1">
        <f t="array" ref="G56">EnergiaSolar[[#This Row],[Variante ]]*CostPerKwh[Precio Promedio Kwh]</f>
        <v>-3.1620000000000008</v>
      </c>
    </row>
    <row r="57" spans="1:7" x14ac:dyDescent="0.25">
      <c r="A57" s="2">
        <v>44730</v>
      </c>
      <c r="B57">
        <v>6</v>
      </c>
      <c r="C57" s="3">
        <v>31.4</v>
      </c>
      <c r="D57" s="3">
        <v>31.6</v>
      </c>
      <c r="E57" s="5">
        <f>EnergiaSolar[[#This Row],[Producido]]-EnergiaSolar[[#This Row],[Consumido]]</f>
        <v>-0.20000000000000284</v>
      </c>
      <c r="F57" s="3">
        <f>EnergiaSolar[[#This Row],[Producido]]-EnergiaSolar[[#This Row],[Consumido]]</f>
        <v>-0.20000000000000284</v>
      </c>
      <c r="G57" s="5" cm="1">
        <f t="array" ref="G57">EnergiaSolar[[#This Row],[Variante ]]*CostPerKwh[Precio Promedio Kwh]</f>
        <v>-6.2000000000000881E-2</v>
      </c>
    </row>
    <row r="58" spans="1:7" x14ac:dyDescent="0.25">
      <c r="A58" s="2">
        <v>44731</v>
      </c>
      <c r="B58">
        <v>6</v>
      </c>
      <c r="C58" s="3">
        <v>25.7</v>
      </c>
      <c r="D58" s="3">
        <v>33.4</v>
      </c>
      <c r="E58" s="5">
        <f>EnergiaSolar[[#This Row],[Producido]]-EnergiaSolar[[#This Row],[Consumido]]</f>
        <v>-7.6999999999999993</v>
      </c>
      <c r="F58" s="3">
        <f>EnergiaSolar[[#This Row],[Producido]]-EnergiaSolar[[#This Row],[Consumido]]</f>
        <v>-7.6999999999999993</v>
      </c>
      <c r="G58" s="5" cm="1">
        <f t="array" ref="G58">EnergiaSolar[[#This Row],[Variante ]]*CostPerKwh[Precio Promedio Kwh]</f>
        <v>-2.3869999999999996</v>
      </c>
    </row>
    <row r="59" spans="1:7" x14ac:dyDescent="0.25">
      <c r="A59" s="2">
        <v>44732</v>
      </c>
      <c r="B59">
        <v>6</v>
      </c>
      <c r="C59" s="3">
        <v>22.1</v>
      </c>
      <c r="D59" s="3">
        <v>31.4</v>
      </c>
      <c r="E59" s="5">
        <f>EnergiaSolar[[#This Row],[Producido]]-EnergiaSolar[[#This Row],[Consumido]]</f>
        <v>-9.2999999999999972</v>
      </c>
      <c r="F59" s="3">
        <f>EnergiaSolar[[#This Row],[Producido]]-EnergiaSolar[[#This Row],[Consumido]]</f>
        <v>-9.2999999999999972</v>
      </c>
      <c r="G59" s="5" cm="1">
        <f t="array" ref="G59">EnergiaSolar[[#This Row],[Variante ]]*CostPerKwh[Precio Promedio Kwh]</f>
        <v>-2.8829999999999991</v>
      </c>
    </row>
    <row r="60" spans="1:7" x14ac:dyDescent="0.25">
      <c r="A60" s="2">
        <v>44733</v>
      </c>
      <c r="B60">
        <v>6</v>
      </c>
      <c r="C60" s="3">
        <v>27</v>
      </c>
      <c r="D60" s="3">
        <v>31.7</v>
      </c>
      <c r="E60" s="5">
        <f>EnergiaSolar[[#This Row],[Producido]]-EnergiaSolar[[#This Row],[Consumido]]</f>
        <v>-4.6999999999999993</v>
      </c>
      <c r="F60" s="3">
        <f>EnergiaSolar[[#This Row],[Producido]]-EnergiaSolar[[#This Row],[Consumido]]</f>
        <v>-4.6999999999999993</v>
      </c>
      <c r="G60" s="5" cm="1">
        <f t="array" ref="G60">EnergiaSolar[[#This Row],[Variante ]]*CostPerKwh[Precio Promedio Kwh]</f>
        <v>-1.4569999999999999</v>
      </c>
    </row>
    <row r="61" spans="1:7" x14ac:dyDescent="0.25">
      <c r="A61" s="2">
        <v>44734</v>
      </c>
      <c r="B61">
        <v>6</v>
      </c>
      <c r="C61" s="3">
        <v>33.200000000000003</v>
      </c>
      <c r="D61" s="3">
        <v>33</v>
      </c>
      <c r="E61" s="5">
        <f>EnergiaSolar[[#This Row],[Producido]]-EnergiaSolar[[#This Row],[Consumido]]</f>
        <v>0.20000000000000284</v>
      </c>
      <c r="F61" s="3">
        <f>EnergiaSolar[[#This Row],[Producido]]-EnergiaSolar[[#This Row],[Consumido]]</f>
        <v>0.20000000000000284</v>
      </c>
      <c r="G61" s="5" cm="1">
        <f t="array" ref="G61">EnergiaSolar[[#This Row],[Variante ]]*CostPerKwh[Precio Promedio Kwh]</f>
        <v>6.2000000000000881E-2</v>
      </c>
    </row>
    <row r="62" spans="1:7" x14ac:dyDescent="0.25">
      <c r="A62" s="2">
        <v>44735</v>
      </c>
      <c r="B62">
        <v>6</v>
      </c>
      <c r="C62" s="3">
        <v>29.4</v>
      </c>
      <c r="D62" s="3">
        <v>36.700000000000003</v>
      </c>
      <c r="E62" s="5">
        <f>EnergiaSolar[[#This Row],[Producido]]-EnergiaSolar[[#This Row],[Consumido]]</f>
        <v>-7.3000000000000043</v>
      </c>
      <c r="F62" s="3">
        <f>EnergiaSolar[[#This Row],[Producido]]-EnergiaSolar[[#This Row],[Consumido]]</f>
        <v>-7.3000000000000043</v>
      </c>
      <c r="G62" s="5" cm="1">
        <f t="array" ref="G62">EnergiaSolar[[#This Row],[Variante ]]*CostPerKwh[Precio Promedio Kwh]</f>
        <v>-2.2630000000000012</v>
      </c>
    </row>
    <row r="63" spans="1:7" x14ac:dyDescent="0.25">
      <c r="A63" s="2">
        <v>44736</v>
      </c>
      <c r="B63">
        <v>6</v>
      </c>
      <c r="C63" s="3">
        <v>23.6</v>
      </c>
      <c r="D63" s="3">
        <v>29.7</v>
      </c>
      <c r="E63" s="5">
        <f>EnergiaSolar[[#This Row],[Producido]]-EnergiaSolar[[#This Row],[Consumido]]</f>
        <v>-6.0999999999999979</v>
      </c>
      <c r="F63" s="3">
        <f>EnergiaSolar[[#This Row],[Producido]]-EnergiaSolar[[#This Row],[Consumido]]</f>
        <v>-6.0999999999999979</v>
      </c>
      <c r="G63" s="5" cm="1">
        <f t="array" ref="G63">EnergiaSolar[[#This Row],[Variante ]]*CostPerKwh[Precio Promedio Kwh]</f>
        <v>-1.8909999999999993</v>
      </c>
    </row>
    <row r="64" spans="1:7" x14ac:dyDescent="0.25">
      <c r="A64" s="2">
        <v>44737</v>
      </c>
      <c r="B64">
        <v>6</v>
      </c>
      <c r="C64" s="3">
        <v>25</v>
      </c>
      <c r="D64" s="3">
        <v>30.4</v>
      </c>
      <c r="E64" s="5">
        <f>EnergiaSolar[[#This Row],[Producido]]-EnergiaSolar[[#This Row],[Consumido]]</f>
        <v>-5.3999999999999986</v>
      </c>
      <c r="F64" s="3">
        <f>EnergiaSolar[[#This Row],[Producido]]-EnergiaSolar[[#This Row],[Consumido]]</f>
        <v>-5.3999999999999986</v>
      </c>
      <c r="G64" s="5" cm="1">
        <f t="array" ref="G64">EnergiaSolar[[#This Row],[Variante ]]*CostPerKwh[Precio Promedio Kwh]</f>
        <v>-1.6739999999999995</v>
      </c>
    </row>
    <row r="65" spans="1:7" x14ac:dyDescent="0.25">
      <c r="A65" s="2">
        <v>44738</v>
      </c>
      <c r="B65">
        <v>6</v>
      </c>
      <c r="C65" s="3">
        <v>24.5</v>
      </c>
      <c r="D65" s="3">
        <v>24</v>
      </c>
      <c r="E65" s="5">
        <f>EnergiaSolar[[#This Row],[Producido]]-EnergiaSolar[[#This Row],[Consumido]]</f>
        <v>0.5</v>
      </c>
      <c r="F65" s="3">
        <f>EnergiaSolar[[#This Row],[Producido]]-EnergiaSolar[[#This Row],[Consumido]]</f>
        <v>0.5</v>
      </c>
      <c r="G65" s="5" cm="1">
        <f t="array" ref="G65">EnergiaSolar[[#This Row],[Variante ]]*CostPerKwh[Precio Promedio Kwh]</f>
        <v>0.155</v>
      </c>
    </row>
    <row r="66" spans="1:7" x14ac:dyDescent="0.25">
      <c r="A66" s="2">
        <v>44739</v>
      </c>
      <c r="B66">
        <v>6</v>
      </c>
      <c r="C66" s="3">
        <v>6.2</v>
      </c>
      <c r="D66" s="3">
        <v>30.1</v>
      </c>
      <c r="E66" s="5">
        <f>EnergiaSolar[[#This Row],[Producido]]-EnergiaSolar[[#This Row],[Consumido]]</f>
        <v>-23.900000000000002</v>
      </c>
      <c r="F66" s="3">
        <f>EnergiaSolar[[#This Row],[Producido]]-EnergiaSolar[[#This Row],[Consumido]]</f>
        <v>-23.900000000000002</v>
      </c>
      <c r="G66" s="5" cm="1">
        <f t="array" ref="G66">EnergiaSolar[[#This Row],[Variante ]]*CostPerKwh[Precio Promedio Kwh]</f>
        <v>-7.4090000000000007</v>
      </c>
    </row>
    <row r="67" spans="1:7" x14ac:dyDescent="0.25">
      <c r="A67" s="2">
        <v>44740</v>
      </c>
      <c r="B67">
        <v>6</v>
      </c>
      <c r="C67" s="3">
        <v>21.5</v>
      </c>
      <c r="D67" s="3">
        <v>30.9</v>
      </c>
      <c r="E67" s="5">
        <f>EnergiaSolar[[#This Row],[Producido]]-EnergiaSolar[[#This Row],[Consumido]]</f>
        <v>-9.3999999999999986</v>
      </c>
      <c r="F67" s="3">
        <f>EnergiaSolar[[#This Row],[Producido]]-EnergiaSolar[[#This Row],[Consumido]]</f>
        <v>-9.3999999999999986</v>
      </c>
      <c r="G67" s="5" cm="1">
        <f t="array" ref="G67">EnergiaSolar[[#This Row],[Variante ]]*CostPerKwh[Precio Promedio Kwh]</f>
        <v>-2.9139999999999997</v>
      </c>
    </row>
    <row r="68" spans="1:7" x14ac:dyDescent="0.25">
      <c r="A68" s="2">
        <v>44741</v>
      </c>
      <c r="B68">
        <v>6</v>
      </c>
      <c r="C68" s="3">
        <v>29.5</v>
      </c>
      <c r="D68" s="3">
        <v>36.5</v>
      </c>
      <c r="E68" s="5">
        <f>EnergiaSolar[[#This Row],[Producido]]-EnergiaSolar[[#This Row],[Consumido]]</f>
        <v>-7</v>
      </c>
      <c r="F68" s="3">
        <f>EnergiaSolar[[#This Row],[Producido]]-EnergiaSolar[[#This Row],[Consumido]]</f>
        <v>-7</v>
      </c>
      <c r="G68" s="5" cm="1">
        <f t="array" ref="G68">EnergiaSolar[[#This Row],[Variante ]]*CostPerKwh[Precio Promedio Kwh]</f>
        <v>-2.17</v>
      </c>
    </row>
    <row r="69" spans="1:7" x14ac:dyDescent="0.25">
      <c r="A69" s="2">
        <v>44742</v>
      </c>
      <c r="B69">
        <v>6</v>
      </c>
      <c r="C69" s="3">
        <v>28.1</v>
      </c>
      <c r="D69" s="3">
        <v>36.200000000000003</v>
      </c>
      <c r="E69" s="5">
        <f>EnergiaSolar[[#This Row],[Producido]]-EnergiaSolar[[#This Row],[Consumido]]</f>
        <v>-8.1000000000000014</v>
      </c>
      <c r="F69" s="3">
        <f>EnergiaSolar[[#This Row],[Producido]]-EnergiaSolar[[#This Row],[Consumido]]</f>
        <v>-8.1000000000000014</v>
      </c>
      <c r="G69" s="5" cm="1">
        <f t="array" ref="G69">EnergiaSolar[[#This Row],[Variante ]]*CostPerKwh[Precio Promedio Kwh]</f>
        <v>-2.5110000000000006</v>
      </c>
    </row>
    <row r="70" spans="1:7" x14ac:dyDescent="0.25">
      <c r="A70" s="2">
        <v>44743</v>
      </c>
      <c r="B70">
        <v>6</v>
      </c>
      <c r="C70" s="3">
        <v>33.700000000000003</v>
      </c>
      <c r="D70" s="3">
        <v>30.7</v>
      </c>
      <c r="E70" s="5">
        <f>EnergiaSolar[[#This Row],[Producido]]-EnergiaSolar[[#This Row],[Consumido]]</f>
        <v>3.0000000000000036</v>
      </c>
      <c r="F70" s="3">
        <f>EnergiaSolar[[#This Row],[Producido]]-EnergiaSolar[[#This Row],[Consumido]]</f>
        <v>3.0000000000000036</v>
      </c>
      <c r="G70" s="5" cm="1">
        <f t="array" ref="G70">EnergiaSolar[[#This Row],[Variante ]]*CostPerKwh[Precio Promedio Kwh]</f>
        <v>0.93000000000000105</v>
      </c>
    </row>
    <row r="71" spans="1:7" x14ac:dyDescent="0.25">
      <c r="A71" s="2">
        <v>44744</v>
      </c>
      <c r="B71">
        <v>6</v>
      </c>
      <c r="C71" s="3">
        <v>20.7</v>
      </c>
      <c r="D71" s="3">
        <v>29.4</v>
      </c>
      <c r="E71" s="5">
        <f>EnergiaSolar[[#This Row],[Producido]]-EnergiaSolar[[#This Row],[Consumido]]</f>
        <v>-8.6999999999999993</v>
      </c>
      <c r="F71" s="3">
        <f>EnergiaSolar[[#This Row],[Producido]]-EnergiaSolar[[#This Row],[Consumido]]</f>
        <v>-8.6999999999999993</v>
      </c>
      <c r="G71" s="5" cm="1">
        <f t="array" ref="G71">EnergiaSolar[[#This Row],[Variante ]]*CostPerKwh[Precio Promedio Kwh]</f>
        <v>-2.6969999999999996</v>
      </c>
    </row>
    <row r="72" spans="1:7" x14ac:dyDescent="0.25">
      <c r="A72" s="2">
        <v>44745</v>
      </c>
      <c r="B72">
        <v>6</v>
      </c>
      <c r="C72" s="3">
        <v>23.2</v>
      </c>
      <c r="D72" s="3">
        <v>31.3</v>
      </c>
      <c r="E72" s="5">
        <f>EnergiaSolar[[#This Row],[Producido]]-EnergiaSolar[[#This Row],[Consumido]]</f>
        <v>-8.1000000000000014</v>
      </c>
      <c r="F72" s="3">
        <f>EnergiaSolar[[#This Row],[Producido]]-EnergiaSolar[[#This Row],[Consumido]]</f>
        <v>-8.1000000000000014</v>
      </c>
      <c r="G72" s="5" cm="1">
        <f t="array" ref="G72">EnergiaSolar[[#This Row],[Variante ]]*CostPerKwh[Precio Promedio Kwh]</f>
        <v>-2.5110000000000006</v>
      </c>
    </row>
    <row r="73" spans="1:7" x14ac:dyDescent="0.25">
      <c r="A73" s="2">
        <v>44746</v>
      </c>
      <c r="B73">
        <v>6</v>
      </c>
      <c r="C73" s="3">
        <v>19.8</v>
      </c>
      <c r="D73" s="3">
        <v>31.1</v>
      </c>
      <c r="E73" s="5">
        <f>EnergiaSolar[[#This Row],[Producido]]-EnergiaSolar[[#This Row],[Consumido]]</f>
        <v>-11.3</v>
      </c>
      <c r="F73" s="3">
        <f>EnergiaSolar[[#This Row],[Producido]]-EnergiaSolar[[#This Row],[Consumido]]</f>
        <v>-11.3</v>
      </c>
      <c r="G73" s="5" cm="1">
        <f t="array" ref="G73">EnergiaSolar[[#This Row],[Variante ]]*CostPerKwh[Precio Promedio Kwh]</f>
        <v>-3.5030000000000001</v>
      </c>
    </row>
    <row r="74" spans="1:7" x14ac:dyDescent="0.25">
      <c r="A74" s="2">
        <v>44747</v>
      </c>
      <c r="B74">
        <v>6</v>
      </c>
      <c r="C74" s="3">
        <v>24.8</v>
      </c>
      <c r="D74" s="3">
        <v>29.5</v>
      </c>
      <c r="E74" s="5">
        <f>EnergiaSolar[[#This Row],[Producido]]-EnergiaSolar[[#This Row],[Consumido]]</f>
        <v>-4.6999999999999993</v>
      </c>
      <c r="F74" s="3">
        <f>EnergiaSolar[[#This Row],[Producido]]-EnergiaSolar[[#This Row],[Consumido]]</f>
        <v>-4.6999999999999993</v>
      </c>
      <c r="G74" s="5" cm="1">
        <f t="array" ref="G74">EnergiaSolar[[#This Row],[Variante ]]*CostPerKwh[Precio Promedio Kwh]</f>
        <v>-1.4569999999999999</v>
      </c>
    </row>
    <row r="75" spans="1:7" x14ac:dyDescent="0.25">
      <c r="A75" s="2">
        <v>44748</v>
      </c>
      <c r="B75">
        <v>6</v>
      </c>
      <c r="C75" s="3">
        <v>24.6</v>
      </c>
      <c r="D75" s="3">
        <v>30.3</v>
      </c>
      <c r="E75" s="5">
        <f>EnergiaSolar[[#This Row],[Producido]]-EnergiaSolar[[#This Row],[Consumido]]</f>
        <v>-5.6999999999999993</v>
      </c>
      <c r="F75" s="3">
        <f>EnergiaSolar[[#This Row],[Producido]]-EnergiaSolar[[#This Row],[Consumido]]</f>
        <v>-5.6999999999999993</v>
      </c>
      <c r="G75" s="5" cm="1">
        <f t="array" ref="G75">EnergiaSolar[[#This Row],[Variante ]]*CostPerKwh[Precio Promedio Kwh]</f>
        <v>-1.7669999999999997</v>
      </c>
    </row>
    <row r="76" spans="1:7" x14ac:dyDescent="0.25">
      <c r="A76" s="2">
        <v>44749</v>
      </c>
      <c r="B76">
        <v>6</v>
      </c>
      <c r="C76" s="3">
        <v>19.600000000000001</v>
      </c>
      <c r="D76" s="3">
        <v>28.7</v>
      </c>
      <c r="E76" s="5">
        <f>EnergiaSolar[[#This Row],[Producido]]-EnergiaSolar[[#This Row],[Consumido]]</f>
        <v>-9.0999999999999979</v>
      </c>
      <c r="F76" s="3">
        <f>EnergiaSolar[[#This Row],[Producido]]-EnergiaSolar[[#This Row],[Consumido]]</f>
        <v>-9.0999999999999979</v>
      </c>
      <c r="G76" s="5" cm="1">
        <f t="array" ref="G76">EnergiaSolar[[#This Row],[Variante ]]*CostPerKwh[Precio Promedio Kwh]</f>
        <v>-2.8209999999999993</v>
      </c>
    </row>
    <row r="77" spans="1:7" x14ac:dyDescent="0.25">
      <c r="A77" s="2">
        <v>44750</v>
      </c>
      <c r="B77">
        <v>6</v>
      </c>
      <c r="C77" s="3">
        <v>21.4</v>
      </c>
      <c r="D77" s="3">
        <v>26.2</v>
      </c>
      <c r="E77" s="5">
        <f>EnergiaSolar[[#This Row],[Producido]]-EnergiaSolar[[#This Row],[Consumido]]</f>
        <v>-4.8000000000000007</v>
      </c>
      <c r="F77" s="3">
        <f>EnergiaSolar[[#This Row],[Producido]]-EnergiaSolar[[#This Row],[Consumido]]</f>
        <v>-4.8000000000000007</v>
      </c>
      <c r="G77" s="5" cm="1">
        <f t="array" ref="G77">EnergiaSolar[[#This Row],[Variante ]]*CostPerKwh[Precio Promedio Kwh]</f>
        <v>-1.4880000000000002</v>
      </c>
    </row>
    <row r="78" spans="1:7" x14ac:dyDescent="0.25">
      <c r="A78" s="2">
        <v>44751</v>
      </c>
      <c r="B78">
        <v>6</v>
      </c>
      <c r="C78" s="3">
        <v>22.3</v>
      </c>
      <c r="D78" s="3">
        <v>24.5</v>
      </c>
      <c r="E78" s="5">
        <f>EnergiaSolar[[#This Row],[Producido]]-EnergiaSolar[[#This Row],[Consumido]]</f>
        <v>-2.1999999999999993</v>
      </c>
      <c r="F78" s="3">
        <f>EnergiaSolar[[#This Row],[Producido]]-EnergiaSolar[[#This Row],[Consumido]]</f>
        <v>-2.1999999999999993</v>
      </c>
      <c r="G78" s="5" cm="1">
        <f t="array" ref="G78">EnergiaSolar[[#This Row],[Variante ]]*CostPerKwh[Precio Promedio Kwh]</f>
        <v>-0.68199999999999983</v>
      </c>
    </row>
    <row r="79" spans="1:7" x14ac:dyDescent="0.25">
      <c r="A79" s="2">
        <v>44752</v>
      </c>
      <c r="B79">
        <v>6</v>
      </c>
      <c r="C79" s="3">
        <v>16.399999999999999</v>
      </c>
      <c r="D79" s="3">
        <v>19.3</v>
      </c>
      <c r="E79" s="5">
        <f>EnergiaSolar[[#This Row],[Producido]]-EnergiaSolar[[#This Row],[Consumido]]</f>
        <v>-2.9000000000000021</v>
      </c>
      <c r="F79" s="3">
        <f>EnergiaSolar[[#This Row],[Producido]]-EnergiaSolar[[#This Row],[Consumido]]</f>
        <v>-2.9000000000000021</v>
      </c>
      <c r="G79" s="5" cm="1">
        <f t="array" ref="G79">EnergiaSolar[[#This Row],[Variante ]]*CostPerKwh[Precio Promedio Kwh]</f>
        <v>-0.89900000000000069</v>
      </c>
    </row>
    <row r="80" spans="1:7" x14ac:dyDescent="0.25">
      <c r="A80" s="2">
        <v>44753</v>
      </c>
      <c r="B80">
        <v>6</v>
      </c>
      <c r="C80" s="3">
        <v>24.1</v>
      </c>
      <c r="D80" s="3">
        <v>29.1</v>
      </c>
      <c r="E80" s="5">
        <f>EnergiaSolar[[#This Row],[Producido]]-EnergiaSolar[[#This Row],[Consumido]]</f>
        <v>-5</v>
      </c>
      <c r="F80" s="3">
        <f>EnergiaSolar[[#This Row],[Producido]]-EnergiaSolar[[#This Row],[Consumido]]</f>
        <v>-5</v>
      </c>
      <c r="G80" s="5" cm="1">
        <f t="array" ref="G80">EnergiaSolar[[#This Row],[Variante ]]*CostPerKwh[Precio Promedio Kwh]</f>
        <v>-1.55</v>
      </c>
    </row>
    <row r="81" spans="1:7" x14ac:dyDescent="0.25">
      <c r="A81" s="2">
        <v>44754</v>
      </c>
      <c r="B81">
        <v>6</v>
      </c>
      <c r="C81" s="3">
        <v>30.5</v>
      </c>
      <c r="D81" s="3">
        <v>34.4</v>
      </c>
      <c r="E81" s="5">
        <f>EnergiaSolar[[#This Row],[Producido]]-EnergiaSolar[[#This Row],[Consumido]]</f>
        <v>-3.8999999999999986</v>
      </c>
      <c r="F81" s="3">
        <f>EnergiaSolar[[#This Row],[Producido]]-EnergiaSolar[[#This Row],[Consumido]]</f>
        <v>-3.8999999999999986</v>
      </c>
      <c r="G81" s="5" cm="1">
        <f t="array" ref="G81">EnergiaSolar[[#This Row],[Variante ]]*CostPerKwh[Precio Promedio Kwh]</f>
        <v>-1.2089999999999996</v>
      </c>
    </row>
    <row r="82" spans="1:7" x14ac:dyDescent="0.25">
      <c r="A82" s="2">
        <v>44755</v>
      </c>
      <c r="B82">
        <v>7</v>
      </c>
      <c r="C82" s="3">
        <v>17.100000000000001</v>
      </c>
      <c r="D82" s="3">
        <v>28.7</v>
      </c>
      <c r="E82" s="5">
        <f>EnergiaSolar[[#This Row],[Producido]]-EnergiaSolar[[#This Row],[Consumido]]</f>
        <v>-11.599999999999998</v>
      </c>
      <c r="F82" s="3">
        <f>EnergiaSolar[[#This Row],[Producido]]-EnergiaSolar[[#This Row],[Consumido]]</f>
        <v>-11.599999999999998</v>
      </c>
      <c r="G82" s="5" cm="1">
        <f t="array" ref="G82">EnergiaSolar[[#This Row],[Variante ]]*CostPerKwh[Precio Promedio Kwh]</f>
        <v>-3.5959999999999992</v>
      </c>
    </row>
    <row r="83" spans="1:7" x14ac:dyDescent="0.25">
      <c r="A83" s="2">
        <v>44756</v>
      </c>
      <c r="B83">
        <v>7</v>
      </c>
      <c r="C83" s="3">
        <v>20.2</v>
      </c>
      <c r="D83" s="3">
        <v>25.4</v>
      </c>
      <c r="E83" s="5">
        <f>EnergiaSolar[[#This Row],[Producido]]-EnergiaSolar[[#This Row],[Consumido]]</f>
        <v>-5.1999999999999993</v>
      </c>
      <c r="F83" s="3">
        <f>EnergiaSolar[[#This Row],[Producido]]-EnergiaSolar[[#This Row],[Consumido]]</f>
        <v>-5.1999999999999993</v>
      </c>
      <c r="G83" s="5" cm="1">
        <f t="array" ref="G83">EnergiaSolar[[#This Row],[Variante ]]*CostPerKwh[Precio Promedio Kwh]</f>
        <v>-1.6119999999999999</v>
      </c>
    </row>
    <row r="84" spans="1:7" x14ac:dyDescent="0.25">
      <c r="A84" s="2">
        <v>44757</v>
      </c>
      <c r="B84">
        <v>7</v>
      </c>
      <c r="C84" s="3">
        <v>26.4</v>
      </c>
      <c r="D84" s="3">
        <v>24.5</v>
      </c>
      <c r="E84" s="5">
        <f>EnergiaSolar[[#This Row],[Producido]]-EnergiaSolar[[#This Row],[Consumido]]</f>
        <v>1.8999999999999986</v>
      </c>
      <c r="F84" s="3">
        <f>EnergiaSolar[[#This Row],[Producido]]-EnergiaSolar[[#This Row],[Consumido]]</f>
        <v>1.8999999999999986</v>
      </c>
      <c r="G84" s="5" cm="1">
        <f t="array" ref="G84">EnergiaSolar[[#This Row],[Variante ]]*CostPerKwh[Precio Promedio Kwh]</f>
        <v>0.58899999999999952</v>
      </c>
    </row>
    <row r="85" spans="1:7" x14ac:dyDescent="0.25">
      <c r="A85" s="2">
        <v>44758</v>
      </c>
      <c r="B85">
        <v>7</v>
      </c>
      <c r="C85" s="3">
        <v>23.6</v>
      </c>
      <c r="D85" s="3">
        <v>28.8</v>
      </c>
      <c r="E85" s="5">
        <f>EnergiaSolar[[#This Row],[Producido]]-EnergiaSolar[[#This Row],[Consumido]]</f>
        <v>-5.1999999999999993</v>
      </c>
      <c r="F85" s="3">
        <f>EnergiaSolar[[#This Row],[Producido]]-EnergiaSolar[[#This Row],[Consumido]]</f>
        <v>-5.1999999999999993</v>
      </c>
      <c r="G85" s="5" cm="1">
        <f t="array" ref="G85">EnergiaSolar[[#This Row],[Variante ]]*CostPerKwh[Precio Promedio Kwh]</f>
        <v>-1.6119999999999999</v>
      </c>
    </row>
    <row r="86" spans="1:7" x14ac:dyDescent="0.25">
      <c r="A86" s="2">
        <v>44759</v>
      </c>
      <c r="B86">
        <v>7</v>
      </c>
      <c r="C86" s="3">
        <v>29.2</v>
      </c>
      <c r="D86" s="3">
        <v>31.9</v>
      </c>
      <c r="E86" s="5">
        <f>EnergiaSolar[[#This Row],[Producido]]-EnergiaSolar[[#This Row],[Consumido]]</f>
        <v>-2.6999999999999993</v>
      </c>
      <c r="F86" s="3">
        <f>EnergiaSolar[[#This Row],[Producido]]-EnergiaSolar[[#This Row],[Consumido]]</f>
        <v>-2.6999999999999993</v>
      </c>
      <c r="G86" s="5" cm="1">
        <f t="array" ref="G86">EnergiaSolar[[#This Row],[Variante ]]*CostPerKwh[Precio Promedio Kwh]</f>
        <v>-0.83699999999999974</v>
      </c>
    </row>
    <row r="87" spans="1:7" x14ac:dyDescent="0.25">
      <c r="A87" s="2">
        <v>44760</v>
      </c>
      <c r="B87">
        <v>7</v>
      </c>
      <c r="C87" s="3">
        <v>22.7</v>
      </c>
      <c r="D87" s="3">
        <v>33.9</v>
      </c>
      <c r="E87" s="5">
        <f>EnergiaSolar[[#This Row],[Producido]]-EnergiaSolar[[#This Row],[Consumido]]</f>
        <v>-11.2</v>
      </c>
      <c r="F87" s="3">
        <f>EnergiaSolar[[#This Row],[Producido]]-EnergiaSolar[[#This Row],[Consumido]]</f>
        <v>-11.2</v>
      </c>
      <c r="G87" s="5" cm="1">
        <f t="array" ref="G87">EnergiaSolar[[#This Row],[Variante ]]*CostPerKwh[Precio Promedio Kwh]</f>
        <v>-3.472</v>
      </c>
    </row>
    <row r="88" spans="1:7" x14ac:dyDescent="0.25">
      <c r="A88" s="2">
        <v>44761</v>
      </c>
      <c r="B88">
        <v>7</v>
      </c>
      <c r="C88" s="3">
        <v>23.6</v>
      </c>
      <c r="D88" s="3">
        <v>34.200000000000003</v>
      </c>
      <c r="E88" s="5">
        <f>EnergiaSolar[[#This Row],[Producido]]-EnergiaSolar[[#This Row],[Consumido]]</f>
        <v>-10.600000000000001</v>
      </c>
      <c r="F88" s="3">
        <f>EnergiaSolar[[#This Row],[Producido]]-EnergiaSolar[[#This Row],[Consumido]]</f>
        <v>-10.600000000000001</v>
      </c>
      <c r="G88" s="5" cm="1">
        <f t="array" ref="G88">EnergiaSolar[[#This Row],[Variante ]]*CostPerKwh[Precio Promedio Kwh]</f>
        <v>-3.2860000000000005</v>
      </c>
    </row>
    <row r="89" spans="1:7" x14ac:dyDescent="0.25">
      <c r="A89" s="2">
        <v>44762</v>
      </c>
      <c r="B89">
        <v>7</v>
      </c>
      <c r="C89" s="3">
        <v>26.7</v>
      </c>
      <c r="D89" s="3">
        <v>32.299999999999997</v>
      </c>
      <c r="E89" s="5">
        <f>EnergiaSolar[[#This Row],[Producido]]-EnergiaSolar[[#This Row],[Consumido]]</f>
        <v>-5.5999999999999979</v>
      </c>
      <c r="F89" s="3">
        <f>EnergiaSolar[[#This Row],[Producido]]-EnergiaSolar[[#This Row],[Consumido]]</f>
        <v>-5.5999999999999979</v>
      </c>
      <c r="G89" s="5" cm="1">
        <f t="array" ref="G89">EnergiaSolar[[#This Row],[Variante ]]*CostPerKwh[Precio Promedio Kwh]</f>
        <v>-1.7359999999999993</v>
      </c>
    </row>
    <row r="90" spans="1:7" x14ac:dyDescent="0.25">
      <c r="A90" s="2">
        <v>44763</v>
      </c>
      <c r="B90">
        <v>7</v>
      </c>
      <c r="C90" s="3">
        <v>14.5</v>
      </c>
      <c r="D90" s="3">
        <v>31.9</v>
      </c>
      <c r="E90" s="5">
        <f>EnergiaSolar[[#This Row],[Producido]]-EnergiaSolar[[#This Row],[Consumido]]</f>
        <v>-17.399999999999999</v>
      </c>
      <c r="F90" s="3">
        <f>EnergiaSolar[[#This Row],[Producido]]-EnergiaSolar[[#This Row],[Consumido]]</f>
        <v>-17.399999999999999</v>
      </c>
      <c r="G90" s="5" cm="1">
        <f t="array" ref="G90">EnergiaSolar[[#This Row],[Variante ]]*CostPerKwh[Precio Promedio Kwh]</f>
        <v>-5.3939999999999992</v>
      </c>
    </row>
    <row r="91" spans="1:7" x14ac:dyDescent="0.25">
      <c r="A91" s="2">
        <v>44764</v>
      </c>
      <c r="B91">
        <v>7</v>
      </c>
      <c r="C91" s="3">
        <v>27.8</v>
      </c>
      <c r="D91" s="3">
        <v>31</v>
      </c>
      <c r="E91" s="5">
        <f>EnergiaSolar[[#This Row],[Producido]]-EnergiaSolar[[#This Row],[Consumido]]</f>
        <v>-3.1999999999999993</v>
      </c>
      <c r="F91" s="3">
        <f>EnergiaSolar[[#This Row],[Producido]]-EnergiaSolar[[#This Row],[Consumido]]</f>
        <v>-3.1999999999999993</v>
      </c>
      <c r="G91" s="5" cm="1">
        <f t="array" ref="G91">EnergiaSolar[[#This Row],[Variante ]]*CostPerKwh[Precio Promedio Kwh]</f>
        <v>-0.99199999999999977</v>
      </c>
    </row>
    <row r="92" spans="1:7" x14ac:dyDescent="0.25">
      <c r="A92" s="2">
        <v>44765</v>
      </c>
      <c r="B92">
        <v>7</v>
      </c>
      <c r="C92" s="3">
        <v>30.4</v>
      </c>
      <c r="D92" s="3">
        <v>30.2</v>
      </c>
      <c r="E92" s="5">
        <f>EnergiaSolar[[#This Row],[Producido]]-EnergiaSolar[[#This Row],[Consumido]]</f>
        <v>0.19999999999999929</v>
      </c>
      <c r="F92" s="3">
        <f>EnergiaSolar[[#This Row],[Producido]]-EnergiaSolar[[#This Row],[Consumido]]</f>
        <v>0.19999999999999929</v>
      </c>
      <c r="G92" s="5" cm="1">
        <f t="array" ref="G92">EnergiaSolar[[#This Row],[Variante ]]*CostPerKwh[Precio Promedio Kwh]</f>
        <v>6.1999999999999778E-2</v>
      </c>
    </row>
    <row r="93" spans="1:7" x14ac:dyDescent="0.25">
      <c r="A93" s="2">
        <v>44766</v>
      </c>
      <c r="B93">
        <v>7</v>
      </c>
      <c r="C93" s="3">
        <v>19.3</v>
      </c>
      <c r="D93" s="3">
        <v>26.6</v>
      </c>
      <c r="E93" s="5">
        <f>EnergiaSolar[[#This Row],[Producido]]-EnergiaSolar[[#This Row],[Consumido]]</f>
        <v>-7.3000000000000007</v>
      </c>
      <c r="F93" s="3">
        <f>EnergiaSolar[[#This Row],[Producido]]-EnergiaSolar[[#This Row],[Consumido]]</f>
        <v>-7.3000000000000007</v>
      </c>
      <c r="G93" s="5" cm="1">
        <f t="array" ref="G93">EnergiaSolar[[#This Row],[Variante ]]*CostPerKwh[Precio Promedio Kwh]</f>
        <v>-2.2630000000000003</v>
      </c>
    </row>
    <row r="94" spans="1:7" x14ac:dyDescent="0.25">
      <c r="A94" s="2">
        <v>44767</v>
      </c>
      <c r="B94">
        <v>7</v>
      </c>
      <c r="C94" s="3">
        <v>21</v>
      </c>
      <c r="D94" s="3">
        <v>32.1</v>
      </c>
      <c r="E94" s="5">
        <f>EnergiaSolar[[#This Row],[Producido]]-EnergiaSolar[[#This Row],[Consumido]]</f>
        <v>-11.100000000000001</v>
      </c>
      <c r="F94" s="3">
        <f>EnergiaSolar[[#This Row],[Producido]]-EnergiaSolar[[#This Row],[Consumido]]</f>
        <v>-11.100000000000001</v>
      </c>
      <c r="G94" s="5" cm="1">
        <f t="array" ref="G94">EnergiaSolar[[#This Row],[Variante ]]*CostPerKwh[Precio Promedio Kwh]</f>
        <v>-3.4410000000000003</v>
      </c>
    </row>
    <row r="95" spans="1:7" x14ac:dyDescent="0.25">
      <c r="A95" s="2">
        <v>44768</v>
      </c>
      <c r="B95">
        <v>7</v>
      </c>
      <c r="C95" s="3">
        <v>25.2</v>
      </c>
      <c r="D95" s="3">
        <v>36.799999999999997</v>
      </c>
      <c r="E95" s="5">
        <f>EnergiaSolar[[#This Row],[Producido]]-EnergiaSolar[[#This Row],[Consumido]]</f>
        <v>-11.599999999999998</v>
      </c>
      <c r="F95" s="3">
        <f>EnergiaSolar[[#This Row],[Producido]]-EnergiaSolar[[#This Row],[Consumido]]</f>
        <v>-11.599999999999998</v>
      </c>
      <c r="G95" s="5" cm="1">
        <f t="array" ref="G95">EnergiaSolar[[#This Row],[Variante ]]*CostPerKwh[Precio Promedio Kwh]</f>
        <v>-3.5959999999999992</v>
      </c>
    </row>
    <row r="96" spans="1:7" x14ac:dyDescent="0.25">
      <c r="A96" s="2">
        <v>44769</v>
      </c>
      <c r="B96">
        <v>7</v>
      </c>
      <c r="C96" s="3">
        <v>25.5</v>
      </c>
      <c r="D96" s="3">
        <v>34.700000000000003</v>
      </c>
      <c r="E96" s="5">
        <f>EnergiaSolar[[#This Row],[Producido]]-EnergiaSolar[[#This Row],[Consumido]]</f>
        <v>-9.2000000000000028</v>
      </c>
      <c r="F96" s="3">
        <f>EnergiaSolar[[#This Row],[Producido]]-EnergiaSolar[[#This Row],[Consumido]]</f>
        <v>-9.2000000000000028</v>
      </c>
      <c r="G96" s="5" cm="1">
        <f t="array" ref="G96">EnergiaSolar[[#This Row],[Variante ]]*CostPerKwh[Precio Promedio Kwh]</f>
        <v>-2.8520000000000008</v>
      </c>
    </row>
    <row r="97" spans="1:7" x14ac:dyDescent="0.25">
      <c r="A97" s="2">
        <v>44770</v>
      </c>
      <c r="B97">
        <v>7</v>
      </c>
      <c r="C97" s="3">
        <v>23.5</v>
      </c>
      <c r="D97" s="3">
        <v>28.8</v>
      </c>
      <c r="E97" s="5">
        <f>EnergiaSolar[[#This Row],[Producido]]-EnergiaSolar[[#This Row],[Consumido]]</f>
        <v>-5.3000000000000007</v>
      </c>
      <c r="F97" s="3">
        <f>EnergiaSolar[[#This Row],[Producido]]-EnergiaSolar[[#This Row],[Consumido]]</f>
        <v>-5.3000000000000007</v>
      </c>
      <c r="G97" s="5" cm="1">
        <f t="array" ref="G97">EnergiaSolar[[#This Row],[Variante ]]*CostPerKwh[Precio Promedio Kwh]</f>
        <v>-1.6430000000000002</v>
      </c>
    </row>
    <row r="98" spans="1:7" x14ac:dyDescent="0.25">
      <c r="A98" s="2">
        <v>44771</v>
      </c>
      <c r="B98">
        <v>7</v>
      </c>
      <c r="C98" s="3">
        <v>28.4</v>
      </c>
      <c r="D98" s="3">
        <v>29.4</v>
      </c>
      <c r="E98" s="5">
        <f>EnergiaSolar[[#This Row],[Producido]]-EnergiaSolar[[#This Row],[Consumido]]</f>
        <v>-1</v>
      </c>
      <c r="F98" s="3">
        <f>EnergiaSolar[[#This Row],[Producido]]-EnergiaSolar[[#This Row],[Consumido]]</f>
        <v>-1</v>
      </c>
      <c r="G98" s="5" cm="1">
        <f t="array" ref="G98">EnergiaSolar[[#This Row],[Variante ]]*CostPerKwh[Precio Promedio Kwh]</f>
        <v>-0.31</v>
      </c>
    </row>
    <row r="99" spans="1:7" x14ac:dyDescent="0.25">
      <c r="A99" s="2">
        <v>44772</v>
      </c>
      <c r="B99">
        <v>7</v>
      </c>
      <c r="C99" s="3">
        <v>20.8</v>
      </c>
      <c r="D99" s="3">
        <v>29</v>
      </c>
      <c r="E99" s="5">
        <f>EnergiaSolar[[#This Row],[Producido]]-EnergiaSolar[[#This Row],[Consumido]]</f>
        <v>-8.1999999999999993</v>
      </c>
      <c r="F99" s="3">
        <f>EnergiaSolar[[#This Row],[Producido]]-EnergiaSolar[[#This Row],[Consumido]]</f>
        <v>-8.1999999999999993</v>
      </c>
      <c r="G99" s="5" cm="1">
        <f t="array" ref="G99">EnergiaSolar[[#This Row],[Variante ]]*CostPerKwh[Precio Promedio Kwh]</f>
        <v>-2.5419999999999998</v>
      </c>
    </row>
    <row r="100" spans="1:7" x14ac:dyDescent="0.25">
      <c r="A100" s="2">
        <v>44773</v>
      </c>
      <c r="B100">
        <v>7</v>
      </c>
      <c r="C100" s="3">
        <v>23.7</v>
      </c>
      <c r="D100" s="3">
        <v>34.9</v>
      </c>
      <c r="E100" s="5">
        <f>EnergiaSolar[[#This Row],[Producido]]-EnergiaSolar[[#This Row],[Consumido]]</f>
        <v>-11.2</v>
      </c>
      <c r="F100" s="3">
        <f>EnergiaSolar[[#This Row],[Producido]]-EnergiaSolar[[#This Row],[Consumido]]</f>
        <v>-11.2</v>
      </c>
      <c r="G100" s="5" cm="1">
        <f t="array" ref="G100">EnergiaSolar[[#This Row],[Variante ]]*CostPerKwh[Precio Promedio Kwh]</f>
        <v>-3.472</v>
      </c>
    </row>
    <row r="101" spans="1:7" x14ac:dyDescent="0.25">
      <c r="A101" s="2">
        <v>44774</v>
      </c>
      <c r="B101">
        <v>7</v>
      </c>
      <c r="C101" s="3">
        <v>24.1</v>
      </c>
      <c r="D101" s="3">
        <v>34.200000000000003</v>
      </c>
      <c r="E101" s="5">
        <f>EnergiaSolar[[#This Row],[Producido]]-EnergiaSolar[[#This Row],[Consumido]]</f>
        <v>-10.100000000000001</v>
      </c>
      <c r="F101" s="3">
        <f>EnergiaSolar[[#This Row],[Producido]]-EnergiaSolar[[#This Row],[Consumido]]</f>
        <v>-10.100000000000001</v>
      </c>
      <c r="G101" s="5" cm="1">
        <f t="array" ref="G101">EnergiaSolar[[#This Row],[Variante ]]*CostPerKwh[Precio Promedio Kwh]</f>
        <v>-3.1310000000000002</v>
      </c>
    </row>
    <row r="102" spans="1:7" x14ac:dyDescent="0.25">
      <c r="A102" s="2">
        <v>44775</v>
      </c>
      <c r="B102">
        <v>7</v>
      </c>
      <c r="C102" s="3">
        <v>24.4</v>
      </c>
      <c r="D102" s="3">
        <v>29.6</v>
      </c>
      <c r="E102" s="5">
        <f>EnergiaSolar[[#This Row],[Producido]]-EnergiaSolar[[#This Row],[Consumido]]</f>
        <v>-5.2000000000000028</v>
      </c>
      <c r="F102" s="3">
        <f>EnergiaSolar[[#This Row],[Producido]]-EnergiaSolar[[#This Row],[Consumido]]</f>
        <v>-5.2000000000000028</v>
      </c>
      <c r="G102" s="5" cm="1">
        <f t="array" ref="G102">EnergiaSolar[[#This Row],[Variante ]]*CostPerKwh[Precio Promedio Kwh]</f>
        <v>-1.6120000000000008</v>
      </c>
    </row>
    <row r="103" spans="1:7" x14ac:dyDescent="0.25">
      <c r="A103" s="2">
        <v>44776</v>
      </c>
      <c r="B103">
        <v>7</v>
      </c>
      <c r="C103" s="3">
        <v>18.399999999999999</v>
      </c>
      <c r="D103" s="3">
        <v>23.8</v>
      </c>
      <c r="E103" s="5">
        <f>EnergiaSolar[[#This Row],[Producido]]-EnergiaSolar[[#This Row],[Consumido]]</f>
        <v>-5.4000000000000021</v>
      </c>
      <c r="F103" s="3">
        <f>EnergiaSolar[[#This Row],[Producido]]-EnergiaSolar[[#This Row],[Consumido]]</f>
        <v>-5.4000000000000021</v>
      </c>
      <c r="G103" s="5" cm="1">
        <f t="array" ref="G103">EnergiaSolar[[#This Row],[Variante ]]*CostPerKwh[Precio Promedio Kwh]</f>
        <v>-1.6740000000000006</v>
      </c>
    </row>
    <row r="104" spans="1:7" x14ac:dyDescent="0.25">
      <c r="A104" s="2">
        <v>44777</v>
      </c>
      <c r="B104">
        <v>7</v>
      </c>
      <c r="C104" s="3">
        <v>17.399999999999999</v>
      </c>
      <c r="D104" s="3">
        <v>24.9</v>
      </c>
      <c r="E104" s="5">
        <f>EnergiaSolar[[#This Row],[Producido]]-EnergiaSolar[[#This Row],[Consumido]]</f>
        <v>-7.5</v>
      </c>
      <c r="F104" s="3">
        <f>EnergiaSolar[[#This Row],[Producido]]-EnergiaSolar[[#This Row],[Consumido]]</f>
        <v>-7.5</v>
      </c>
      <c r="G104" s="5" cm="1">
        <f t="array" ref="G104">EnergiaSolar[[#This Row],[Variante ]]*CostPerKwh[Precio Promedio Kwh]</f>
        <v>-2.3250000000000002</v>
      </c>
    </row>
    <row r="105" spans="1:7" x14ac:dyDescent="0.25">
      <c r="A105" s="2">
        <v>44778</v>
      </c>
      <c r="B105">
        <v>7</v>
      </c>
      <c r="C105" s="3">
        <v>24.7</v>
      </c>
      <c r="D105" s="3">
        <v>23.7</v>
      </c>
      <c r="E105" s="5">
        <f>EnergiaSolar[[#This Row],[Producido]]-EnergiaSolar[[#This Row],[Consumido]]</f>
        <v>1</v>
      </c>
      <c r="F105" s="3">
        <f>EnergiaSolar[[#This Row],[Producido]]-EnergiaSolar[[#This Row],[Consumido]]</f>
        <v>1</v>
      </c>
      <c r="G105" s="5" cm="1">
        <f t="array" ref="G105">EnergiaSolar[[#This Row],[Variante ]]*CostPerKwh[Precio Promedio Kwh]</f>
        <v>0.31</v>
      </c>
    </row>
    <row r="106" spans="1:7" x14ac:dyDescent="0.25">
      <c r="A106" s="2">
        <v>44779</v>
      </c>
      <c r="B106">
        <v>7</v>
      </c>
      <c r="C106" s="3">
        <v>27.4</v>
      </c>
      <c r="D106" s="3">
        <v>28.8</v>
      </c>
      <c r="E106" s="5">
        <f>EnergiaSolar[[#This Row],[Producido]]-EnergiaSolar[[#This Row],[Consumido]]</f>
        <v>-1.4000000000000021</v>
      </c>
      <c r="F106" s="3">
        <f>EnergiaSolar[[#This Row],[Producido]]-EnergiaSolar[[#This Row],[Consumido]]</f>
        <v>-1.4000000000000021</v>
      </c>
      <c r="G106" s="5" cm="1">
        <f t="array" ref="G106">EnergiaSolar[[#This Row],[Variante ]]*CostPerKwh[Precio Promedio Kwh]</f>
        <v>-0.43400000000000066</v>
      </c>
    </row>
    <row r="107" spans="1:7" x14ac:dyDescent="0.25">
      <c r="A107" s="2">
        <v>44780</v>
      </c>
      <c r="B107">
        <v>7</v>
      </c>
      <c r="C107" s="3">
        <v>13.2</v>
      </c>
      <c r="D107" s="3">
        <v>25.1</v>
      </c>
      <c r="E107" s="5">
        <f>EnergiaSolar[[#This Row],[Producido]]-EnergiaSolar[[#This Row],[Consumido]]</f>
        <v>-11.900000000000002</v>
      </c>
      <c r="F107" s="3">
        <f>EnergiaSolar[[#This Row],[Producido]]-EnergiaSolar[[#This Row],[Consumido]]</f>
        <v>-11.900000000000002</v>
      </c>
      <c r="G107" s="5" cm="1">
        <f t="array" ref="G107">EnergiaSolar[[#This Row],[Variante ]]*CostPerKwh[Precio Promedio Kwh]</f>
        <v>-3.6890000000000005</v>
      </c>
    </row>
    <row r="108" spans="1:7" x14ac:dyDescent="0.25">
      <c r="A108" s="2">
        <v>44781</v>
      </c>
      <c r="B108">
        <v>7</v>
      </c>
      <c r="C108" s="3">
        <v>30.8</v>
      </c>
      <c r="D108" s="3">
        <v>31.6</v>
      </c>
      <c r="E108" s="5">
        <f>EnergiaSolar[[#This Row],[Producido]]-EnergiaSolar[[#This Row],[Consumido]]</f>
        <v>-0.80000000000000071</v>
      </c>
      <c r="F108" s="3">
        <f>EnergiaSolar[[#This Row],[Producido]]-EnergiaSolar[[#This Row],[Consumido]]</f>
        <v>-0.80000000000000071</v>
      </c>
      <c r="G108" s="5" cm="1">
        <f t="array" ref="G108">EnergiaSolar[[#This Row],[Variante ]]*CostPerKwh[Precio Promedio Kwh]</f>
        <v>-0.24800000000000022</v>
      </c>
    </row>
    <row r="109" spans="1:7" x14ac:dyDescent="0.25">
      <c r="A109" s="2">
        <v>44782</v>
      </c>
      <c r="B109">
        <v>7</v>
      </c>
      <c r="C109" s="3">
        <v>31.8</v>
      </c>
      <c r="D109" s="3">
        <v>32.700000000000003</v>
      </c>
      <c r="E109" s="5">
        <f>EnergiaSolar[[#This Row],[Producido]]-EnergiaSolar[[#This Row],[Consumido]]</f>
        <v>-0.90000000000000213</v>
      </c>
      <c r="F109" s="3">
        <f>EnergiaSolar[[#This Row],[Producido]]-EnergiaSolar[[#This Row],[Consumido]]</f>
        <v>-0.90000000000000213</v>
      </c>
      <c r="G109" s="5" cm="1">
        <f t="array" ref="G109">EnergiaSolar[[#This Row],[Variante ]]*CostPerKwh[Precio Promedio Kwh]</f>
        <v>-0.27900000000000064</v>
      </c>
    </row>
    <row r="110" spans="1:7" x14ac:dyDescent="0.25">
      <c r="A110" s="2">
        <v>44783</v>
      </c>
      <c r="B110">
        <v>7</v>
      </c>
      <c r="C110" s="3">
        <v>26.7</v>
      </c>
      <c r="D110" s="3">
        <v>34.700000000000003</v>
      </c>
      <c r="E110" s="5">
        <f>EnergiaSolar[[#This Row],[Producido]]-EnergiaSolar[[#This Row],[Consumido]]</f>
        <v>-8.0000000000000036</v>
      </c>
      <c r="F110" s="3">
        <f>EnergiaSolar[[#This Row],[Producido]]-EnergiaSolar[[#This Row],[Consumido]]</f>
        <v>-8.0000000000000036</v>
      </c>
      <c r="G110" s="5" cm="1">
        <f t="array" ref="G110">EnergiaSolar[[#This Row],[Variante ]]*CostPerKwh[Precio Promedio Kwh]</f>
        <v>-2.4800000000000009</v>
      </c>
    </row>
    <row r="111" spans="1:7" x14ac:dyDescent="0.25">
      <c r="A111" s="2">
        <v>44784</v>
      </c>
      <c r="B111">
        <v>7</v>
      </c>
      <c r="C111" s="3">
        <v>17.7</v>
      </c>
      <c r="D111" s="3">
        <v>30.7</v>
      </c>
      <c r="E111" s="5">
        <f>EnergiaSolar[[#This Row],[Producido]]-EnergiaSolar[[#This Row],[Consumido]]</f>
        <v>-13</v>
      </c>
      <c r="F111" s="3">
        <f>EnergiaSolar[[#This Row],[Producido]]-EnergiaSolar[[#This Row],[Consumido]]</f>
        <v>-13</v>
      </c>
      <c r="G111" s="5" cm="1">
        <f t="array" ref="G111">EnergiaSolar[[#This Row],[Variante ]]*CostPerKwh[Precio Promedio Kwh]</f>
        <v>-4.03</v>
      </c>
    </row>
    <row r="112" spans="1:7" x14ac:dyDescent="0.25">
      <c r="A112" s="2">
        <v>44785</v>
      </c>
      <c r="B112">
        <v>7</v>
      </c>
      <c r="C112" s="3">
        <v>9.5</v>
      </c>
      <c r="D112" s="3">
        <v>31</v>
      </c>
      <c r="E112" s="5">
        <f>EnergiaSolar[[#This Row],[Producido]]-EnergiaSolar[[#This Row],[Consumido]]</f>
        <v>-21.5</v>
      </c>
      <c r="F112" s="3">
        <f>EnergiaSolar[[#This Row],[Producido]]-EnergiaSolar[[#This Row],[Consumido]]</f>
        <v>-21.5</v>
      </c>
      <c r="G112" s="5" cm="1">
        <f t="array" ref="G112">EnergiaSolar[[#This Row],[Variante ]]*CostPerKwh[Precio Promedio Kwh]</f>
        <v>-6.665</v>
      </c>
    </row>
    <row r="113" spans="1:7" x14ac:dyDescent="0.25">
      <c r="A113" s="2">
        <v>44786</v>
      </c>
      <c r="B113">
        <v>8</v>
      </c>
      <c r="C113" s="3">
        <v>31.9</v>
      </c>
      <c r="D113" s="3">
        <v>37.6</v>
      </c>
      <c r="E113" s="5">
        <f>EnergiaSolar[[#This Row],[Producido]]-EnergiaSolar[[#This Row],[Consumido]]</f>
        <v>-5.7000000000000028</v>
      </c>
      <c r="F113" s="3">
        <f>EnergiaSolar[[#This Row],[Producido]]-EnergiaSolar[[#This Row],[Consumido]]</f>
        <v>-5.7000000000000028</v>
      </c>
      <c r="G113" s="5" cm="1">
        <f t="array" ref="G113">EnergiaSolar[[#This Row],[Variante ]]*CostPerKwh[Precio Promedio Kwh]</f>
        <v>-1.7670000000000008</v>
      </c>
    </row>
    <row r="114" spans="1:7" x14ac:dyDescent="0.25">
      <c r="A114" s="2">
        <v>44787</v>
      </c>
      <c r="B114">
        <v>8</v>
      </c>
      <c r="C114" s="3">
        <v>27.8</v>
      </c>
      <c r="D114" s="3">
        <v>30.2</v>
      </c>
      <c r="E114" s="5">
        <f>EnergiaSolar[[#This Row],[Producido]]-EnergiaSolar[[#This Row],[Consumido]]</f>
        <v>-2.3999999999999986</v>
      </c>
      <c r="F114" s="3">
        <f>EnergiaSolar[[#This Row],[Producido]]-EnergiaSolar[[#This Row],[Consumido]]</f>
        <v>-2.3999999999999986</v>
      </c>
      <c r="G114" s="5" cm="1">
        <f t="array" ref="G114">EnergiaSolar[[#This Row],[Variante ]]*CostPerKwh[Precio Promedio Kwh]</f>
        <v>-0.74399999999999955</v>
      </c>
    </row>
    <row r="115" spans="1:7" x14ac:dyDescent="0.25">
      <c r="A115" s="2">
        <v>44788</v>
      </c>
      <c r="B115">
        <v>8</v>
      </c>
      <c r="C115" s="3">
        <v>15.8</v>
      </c>
      <c r="D115" s="3">
        <v>25.4</v>
      </c>
      <c r="E115" s="5">
        <f>EnergiaSolar[[#This Row],[Producido]]-EnergiaSolar[[#This Row],[Consumido]]</f>
        <v>-9.5999999999999979</v>
      </c>
      <c r="F115" s="3">
        <f>EnergiaSolar[[#This Row],[Producido]]-EnergiaSolar[[#This Row],[Consumido]]</f>
        <v>-9.5999999999999979</v>
      </c>
      <c r="G115" s="5" cm="1">
        <f t="array" ref="G115">EnergiaSolar[[#This Row],[Variante ]]*CostPerKwh[Precio Promedio Kwh]</f>
        <v>-2.9759999999999995</v>
      </c>
    </row>
    <row r="116" spans="1:7" x14ac:dyDescent="0.25">
      <c r="A116" s="2">
        <v>44789</v>
      </c>
      <c r="B116">
        <v>8</v>
      </c>
      <c r="C116" s="3">
        <v>23.3</v>
      </c>
      <c r="D116" s="3">
        <v>24.9</v>
      </c>
      <c r="E116" s="5">
        <f>EnergiaSolar[[#This Row],[Producido]]-EnergiaSolar[[#This Row],[Consumido]]</f>
        <v>-1.5999999999999979</v>
      </c>
      <c r="F116" s="3">
        <f>EnergiaSolar[[#This Row],[Producido]]-EnergiaSolar[[#This Row],[Consumido]]</f>
        <v>-1.5999999999999979</v>
      </c>
      <c r="G116" s="5" cm="1">
        <f t="array" ref="G116">EnergiaSolar[[#This Row],[Variante ]]*CostPerKwh[Precio Promedio Kwh]</f>
        <v>-0.49599999999999933</v>
      </c>
    </row>
    <row r="117" spans="1:7" x14ac:dyDescent="0.25">
      <c r="A117" s="2">
        <v>44790</v>
      </c>
      <c r="B117">
        <v>8</v>
      </c>
      <c r="C117" s="3">
        <v>11.5</v>
      </c>
      <c r="D117" s="3">
        <v>20.399999999999999</v>
      </c>
      <c r="E117" s="5">
        <f>EnergiaSolar[[#This Row],[Producido]]-EnergiaSolar[[#This Row],[Consumido]]</f>
        <v>-8.8999999999999986</v>
      </c>
      <c r="F117" s="3">
        <f>EnergiaSolar[[#This Row],[Producido]]-EnergiaSolar[[#This Row],[Consumido]]</f>
        <v>-8.8999999999999986</v>
      </c>
      <c r="G117" s="5" cm="1">
        <f t="array" ref="G117">EnergiaSolar[[#This Row],[Variante ]]*CostPerKwh[Precio Promedio Kwh]</f>
        <v>-2.7589999999999995</v>
      </c>
    </row>
    <row r="118" spans="1:7" x14ac:dyDescent="0.25">
      <c r="A118" s="2">
        <v>44791</v>
      </c>
      <c r="B118">
        <v>8</v>
      </c>
      <c r="C118" s="3">
        <v>21.2</v>
      </c>
      <c r="D118" s="3">
        <v>25.9</v>
      </c>
      <c r="E118" s="5">
        <f>EnergiaSolar[[#This Row],[Producido]]-EnergiaSolar[[#This Row],[Consumido]]</f>
        <v>-4.6999999999999993</v>
      </c>
      <c r="F118" s="3">
        <f>EnergiaSolar[[#This Row],[Producido]]-EnergiaSolar[[#This Row],[Consumido]]</f>
        <v>-4.6999999999999993</v>
      </c>
      <c r="G118" s="5" cm="1">
        <f t="array" ref="G118">EnergiaSolar[[#This Row],[Variante ]]*CostPerKwh[Precio Promedio Kwh]</f>
        <v>-1.4569999999999999</v>
      </c>
    </row>
    <row r="119" spans="1:7" x14ac:dyDescent="0.25">
      <c r="A119" s="2">
        <v>44792</v>
      </c>
      <c r="B119">
        <v>8</v>
      </c>
      <c r="C119" s="3">
        <v>25.4</v>
      </c>
      <c r="D119" s="3">
        <v>31.2</v>
      </c>
      <c r="E119" s="5">
        <f>EnergiaSolar[[#This Row],[Producido]]-EnergiaSolar[[#This Row],[Consumido]]</f>
        <v>-5.8000000000000007</v>
      </c>
      <c r="F119" s="3">
        <f>EnergiaSolar[[#This Row],[Producido]]-EnergiaSolar[[#This Row],[Consumido]]</f>
        <v>-5.8000000000000007</v>
      </c>
      <c r="G119" s="5" cm="1">
        <f t="array" ref="G119">EnergiaSolar[[#This Row],[Variante ]]*CostPerKwh[Precio Promedio Kwh]</f>
        <v>-1.7980000000000003</v>
      </c>
    </row>
    <row r="120" spans="1:7" x14ac:dyDescent="0.25">
      <c r="A120" s="2">
        <v>44793</v>
      </c>
      <c r="B120">
        <v>8</v>
      </c>
      <c r="C120" s="3">
        <v>15.7</v>
      </c>
      <c r="D120" s="3">
        <v>26.4</v>
      </c>
      <c r="E120" s="5">
        <f>EnergiaSolar[[#This Row],[Producido]]-EnergiaSolar[[#This Row],[Consumido]]</f>
        <v>-10.7</v>
      </c>
      <c r="F120" s="3">
        <f>EnergiaSolar[[#This Row],[Producido]]-EnergiaSolar[[#This Row],[Consumido]]</f>
        <v>-10.7</v>
      </c>
      <c r="G120" s="5" cm="1">
        <f t="array" ref="G120">EnergiaSolar[[#This Row],[Variante ]]*CostPerKwh[Precio Promedio Kwh]</f>
        <v>-3.3169999999999997</v>
      </c>
    </row>
    <row r="121" spans="1:7" x14ac:dyDescent="0.25">
      <c r="A121" s="2">
        <v>44794</v>
      </c>
      <c r="B121">
        <v>8</v>
      </c>
      <c r="C121" s="3">
        <v>19.8</v>
      </c>
      <c r="D121" s="3">
        <v>24.4</v>
      </c>
      <c r="E121" s="5">
        <f>EnergiaSolar[[#This Row],[Producido]]-EnergiaSolar[[#This Row],[Consumido]]</f>
        <v>-4.5999999999999979</v>
      </c>
      <c r="F121" s="3">
        <f>EnergiaSolar[[#This Row],[Producido]]-EnergiaSolar[[#This Row],[Consumido]]</f>
        <v>-4.5999999999999979</v>
      </c>
      <c r="G121" s="5" cm="1">
        <f t="array" ref="G121">EnergiaSolar[[#This Row],[Variante ]]*CostPerKwh[Precio Promedio Kwh]</f>
        <v>-1.4259999999999993</v>
      </c>
    </row>
    <row r="122" spans="1:7" x14ac:dyDescent="0.25">
      <c r="A122" s="2">
        <v>44795</v>
      </c>
      <c r="B122">
        <v>8</v>
      </c>
      <c r="C122" s="3">
        <v>23.7</v>
      </c>
      <c r="D122" s="3">
        <v>26.3</v>
      </c>
      <c r="E122" s="5">
        <f>EnergiaSolar[[#This Row],[Producido]]-EnergiaSolar[[#This Row],[Consumido]]</f>
        <v>-2.6000000000000014</v>
      </c>
      <c r="F122" s="3">
        <f>EnergiaSolar[[#This Row],[Producido]]-EnergiaSolar[[#This Row],[Consumido]]</f>
        <v>-2.6000000000000014</v>
      </c>
      <c r="G122" s="5" cm="1">
        <f t="array" ref="G122">EnergiaSolar[[#This Row],[Variante ]]*CostPerKwh[Precio Promedio Kwh]</f>
        <v>-0.80600000000000038</v>
      </c>
    </row>
    <row r="123" spans="1:7" x14ac:dyDescent="0.25">
      <c r="A123" s="2">
        <v>44796</v>
      </c>
      <c r="B123">
        <v>8</v>
      </c>
      <c r="C123" s="3">
        <v>20.9</v>
      </c>
      <c r="D123" s="3">
        <v>25.2</v>
      </c>
      <c r="E123" s="5">
        <f>EnergiaSolar[[#This Row],[Producido]]-EnergiaSolar[[#This Row],[Consumido]]</f>
        <v>-4.3000000000000007</v>
      </c>
      <c r="F123" s="3">
        <f>EnergiaSolar[[#This Row],[Producido]]-EnergiaSolar[[#This Row],[Consumido]]</f>
        <v>-4.3000000000000007</v>
      </c>
      <c r="G123" s="5" cm="1">
        <f t="array" ref="G123">EnergiaSolar[[#This Row],[Variante ]]*CostPerKwh[Precio Promedio Kwh]</f>
        <v>-1.3330000000000002</v>
      </c>
    </row>
    <row r="124" spans="1:7" x14ac:dyDescent="0.25">
      <c r="A124" s="2">
        <v>44797</v>
      </c>
      <c r="B124">
        <v>8</v>
      </c>
      <c r="C124" s="3">
        <v>22.9</v>
      </c>
      <c r="D124" s="3">
        <v>21.6</v>
      </c>
      <c r="E124" s="5">
        <f>EnergiaSolar[[#This Row],[Producido]]-EnergiaSolar[[#This Row],[Consumido]]</f>
        <v>1.2999999999999972</v>
      </c>
      <c r="F124" s="3">
        <f>EnergiaSolar[[#This Row],[Producido]]-EnergiaSolar[[#This Row],[Consumido]]</f>
        <v>1.2999999999999972</v>
      </c>
      <c r="G124" s="5" cm="1">
        <f t="array" ref="G124">EnergiaSolar[[#This Row],[Variante ]]*CostPerKwh[Precio Promedio Kwh]</f>
        <v>0.40299999999999914</v>
      </c>
    </row>
    <row r="125" spans="1:7" x14ac:dyDescent="0.25">
      <c r="A125" s="2">
        <v>44798</v>
      </c>
      <c r="B125">
        <v>8</v>
      </c>
      <c r="C125" s="3">
        <v>16.3</v>
      </c>
      <c r="D125" s="3">
        <v>27.7</v>
      </c>
      <c r="E125" s="5">
        <f>EnergiaSolar[[#This Row],[Producido]]-EnergiaSolar[[#This Row],[Consumido]]</f>
        <v>-11.399999999999999</v>
      </c>
      <c r="F125" s="3">
        <f>EnergiaSolar[[#This Row],[Producido]]-EnergiaSolar[[#This Row],[Consumido]]</f>
        <v>-11.399999999999999</v>
      </c>
      <c r="G125" s="5" cm="1">
        <f t="array" ref="G125">EnergiaSolar[[#This Row],[Variante ]]*CostPerKwh[Precio Promedio Kwh]</f>
        <v>-3.5339999999999994</v>
      </c>
    </row>
    <row r="126" spans="1:7" x14ac:dyDescent="0.25">
      <c r="A126" s="2">
        <v>44799</v>
      </c>
      <c r="B126">
        <v>8</v>
      </c>
      <c r="C126" s="3">
        <v>24.8</v>
      </c>
      <c r="D126" s="3">
        <v>25.9</v>
      </c>
      <c r="E126" s="5">
        <f>EnergiaSolar[[#This Row],[Producido]]-EnergiaSolar[[#This Row],[Consumido]]</f>
        <v>-1.0999999999999979</v>
      </c>
      <c r="F126" s="3">
        <f>EnergiaSolar[[#This Row],[Producido]]-EnergiaSolar[[#This Row],[Consumido]]</f>
        <v>-1.0999999999999979</v>
      </c>
      <c r="G126" s="5" cm="1">
        <f t="array" ref="G126">EnergiaSolar[[#This Row],[Variante ]]*CostPerKwh[Precio Promedio Kwh]</f>
        <v>-0.34099999999999936</v>
      </c>
    </row>
    <row r="127" spans="1:7" x14ac:dyDescent="0.25">
      <c r="A127" s="2">
        <v>44800</v>
      </c>
      <c r="B127">
        <v>8</v>
      </c>
      <c r="C127" s="3">
        <v>20.3</v>
      </c>
      <c r="D127" s="3">
        <v>29.9</v>
      </c>
      <c r="E127" s="5">
        <f>EnergiaSolar[[#This Row],[Producido]]-EnergiaSolar[[#This Row],[Consumido]]</f>
        <v>-9.5999999999999979</v>
      </c>
      <c r="F127" s="3">
        <f>EnergiaSolar[[#This Row],[Producido]]-EnergiaSolar[[#This Row],[Consumido]]</f>
        <v>-9.5999999999999979</v>
      </c>
      <c r="G127" s="5" cm="1">
        <f t="array" ref="G127">EnergiaSolar[[#This Row],[Variante ]]*CostPerKwh[Precio Promedio Kwh]</f>
        <v>-2.9759999999999995</v>
      </c>
    </row>
    <row r="128" spans="1:7" x14ac:dyDescent="0.25">
      <c r="A128" s="2">
        <v>44801</v>
      </c>
      <c r="B128">
        <v>8</v>
      </c>
      <c r="C128" s="3">
        <v>21.5</v>
      </c>
      <c r="D128" s="3">
        <v>24.3</v>
      </c>
      <c r="E128" s="5">
        <f>EnergiaSolar[[#This Row],[Producido]]-EnergiaSolar[[#This Row],[Consumido]]</f>
        <v>-2.8000000000000007</v>
      </c>
      <c r="F128" s="3">
        <f>EnergiaSolar[[#This Row],[Producido]]-EnergiaSolar[[#This Row],[Consumido]]</f>
        <v>-2.8000000000000007</v>
      </c>
      <c r="G128" s="5" cm="1">
        <f t="array" ref="G128">EnergiaSolar[[#This Row],[Variante ]]*CostPerKwh[Precio Promedio Kwh]</f>
        <v>-0.86800000000000022</v>
      </c>
    </row>
    <row r="129" spans="1:7" x14ac:dyDescent="0.25">
      <c r="A129" s="2">
        <v>44802</v>
      </c>
      <c r="B129">
        <v>8</v>
      </c>
      <c r="C129" s="3">
        <v>24</v>
      </c>
      <c r="D129" s="3">
        <v>24.7</v>
      </c>
      <c r="E129" s="5">
        <f>EnergiaSolar[[#This Row],[Producido]]-EnergiaSolar[[#This Row],[Consumido]]</f>
        <v>-0.69999999999999929</v>
      </c>
      <c r="F129" s="3">
        <f>EnergiaSolar[[#This Row],[Producido]]-EnergiaSolar[[#This Row],[Consumido]]</f>
        <v>-0.69999999999999929</v>
      </c>
      <c r="G129" s="5" cm="1">
        <f t="array" ref="G129">EnergiaSolar[[#This Row],[Variante ]]*CostPerKwh[Precio Promedio Kwh]</f>
        <v>-0.21699999999999978</v>
      </c>
    </row>
    <row r="130" spans="1:7" x14ac:dyDescent="0.25">
      <c r="A130" s="2">
        <v>44803</v>
      </c>
      <c r="B130">
        <v>8</v>
      </c>
      <c r="C130" s="3">
        <v>18.7</v>
      </c>
      <c r="D130" s="3">
        <v>26.6</v>
      </c>
      <c r="E130" s="5">
        <f>EnergiaSolar[[#This Row],[Producido]]-EnergiaSolar[[#This Row],[Consumido]]</f>
        <v>-7.9000000000000021</v>
      </c>
      <c r="F130" s="3">
        <f>EnergiaSolar[[#This Row],[Producido]]-EnergiaSolar[[#This Row],[Consumido]]</f>
        <v>-7.9000000000000021</v>
      </c>
      <c r="G130" s="5" cm="1">
        <f t="array" ref="G130">EnergiaSolar[[#This Row],[Variante ]]*CostPerKwh[Precio Promedio Kwh]</f>
        <v>-2.4490000000000007</v>
      </c>
    </row>
    <row r="131" spans="1:7" x14ac:dyDescent="0.25">
      <c r="A131" s="2">
        <v>44804</v>
      </c>
      <c r="B131">
        <v>8</v>
      </c>
      <c r="C131" s="3">
        <v>21.8</v>
      </c>
      <c r="D131" s="3">
        <v>25.9</v>
      </c>
      <c r="E131" s="5">
        <f>EnergiaSolar[[#This Row],[Producido]]-EnergiaSolar[[#This Row],[Consumido]]</f>
        <v>-4.0999999999999979</v>
      </c>
      <c r="F131" s="3">
        <f>EnergiaSolar[[#This Row],[Producido]]-EnergiaSolar[[#This Row],[Consumido]]</f>
        <v>-4.0999999999999979</v>
      </c>
      <c r="G131" s="5" cm="1">
        <f t="array" ref="G131">EnergiaSolar[[#This Row],[Variante ]]*CostPerKwh[Precio Promedio Kwh]</f>
        <v>-1.2709999999999992</v>
      </c>
    </row>
    <row r="132" spans="1:7" x14ac:dyDescent="0.25">
      <c r="A132" s="2">
        <v>44805</v>
      </c>
      <c r="B132">
        <v>8</v>
      </c>
      <c r="C132" s="3">
        <v>24.7</v>
      </c>
      <c r="D132" s="3">
        <v>27.1</v>
      </c>
      <c r="E132" s="5">
        <f>EnergiaSolar[[#This Row],[Producido]]-EnergiaSolar[[#This Row],[Consumido]]</f>
        <v>-2.4000000000000021</v>
      </c>
      <c r="F132" s="3">
        <f>EnergiaSolar[[#This Row],[Producido]]-EnergiaSolar[[#This Row],[Consumido]]</f>
        <v>-2.4000000000000021</v>
      </c>
      <c r="G132" s="5" cm="1">
        <f t="array" ref="G132">EnergiaSolar[[#This Row],[Variante ]]*CostPerKwh[Precio Promedio Kwh]</f>
        <v>-0.74400000000000066</v>
      </c>
    </row>
    <row r="133" spans="1:7" x14ac:dyDescent="0.25">
      <c r="A133" s="2">
        <v>44806</v>
      </c>
      <c r="B133">
        <v>8</v>
      </c>
      <c r="C133" s="3">
        <v>32.799999999999997</v>
      </c>
      <c r="D133" s="3">
        <v>30.2</v>
      </c>
      <c r="E133" s="5">
        <f>EnergiaSolar[[#This Row],[Producido]]-EnergiaSolar[[#This Row],[Consumido]]</f>
        <v>2.5999999999999979</v>
      </c>
      <c r="F133" s="3">
        <f>EnergiaSolar[[#This Row],[Producido]]-EnergiaSolar[[#This Row],[Consumido]]</f>
        <v>2.5999999999999979</v>
      </c>
      <c r="G133" s="5" cm="1">
        <f t="array" ref="G133">EnergiaSolar[[#This Row],[Variante ]]*CostPerKwh[Precio Promedio Kwh]</f>
        <v>0.80599999999999938</v>
      </c>
    </row>
    <row r="134" spans="1:7" x14ac:dyDescent="0.25">
      <c r="A134" s="2">
        <v>44807</v>
      </c>
      <c r="B134">
        <v>8</v>
      </c>
      <c r="C134" s="3">
        <v>29.3</v>
      </c>
      <c r="D134" s="3">
        <v>29.8</v>
      </c>
      <c r="E134" s="5">
        <f>EnergiaSolar[[#This Row],[Producido]]-EnergiaSolar[[#This Row],[Consumido]]</f>
        <v>-0.5</v>
      </c>
      <c r="F134" s="3">
        <f>EnergiaSolar[[#This Row],[Producido]]-EnergiaSolar[[#This Row],[Consumido]]</f>
        <v>-0.5</v>
      </c>
      <c r="G134" s="5" cm="1">
        <f t="array" ref="G134">EnergiaSolar[[#This Row],[Variante ]]*CostPerKwh[Precio Promedio Kwh]</f>
        <v>-0.155</v>
      </c>
    </row>
    <row r="135" spans="1:7" x14ac:dyDescent="0.25">
      <c r="A135" s="2">
        <v>44808</v>
      </c>
      <c r="B135">
        <v>8</v>
      </c>
      <c r="C135" s="3">
        <v>29.1</v>
      </c>
      <c r="D135" s="3">
        <v>29.7</v>
      </c>
      <c r="E135" s="5">
        <f>EnergiaSolar[[#This Row],[Producido]]-EnergiaSolar[[#This Row],[Consumido]]</f>
        <v>-0.59999999999999787</v>
      </c>
      <c r="F135" s="3">
        <f>EnergiaSolar[[#This Row],[Producido]]-EnergiaSolar[[#This Row],[Consumido]]</f>
        <v>-0.59999999999999787</v>
      </c>
      <c r="G135" s="5" cm="1">
        <f t="array" ref="G135">EnergiaSolar[[#This Row],[Variante ]]*CostPerKwh[Precio Promedio Kwh]</f>
        <v>-0.18599999999999933</v>
      </c>
    </row>
    <row r="136" spans="1:7" x14ac:dyDescent="0.25">
      <c r="A136" s="2">
        <v>44809</v>
      </c>
      <c r="B136">
        <v>8</v>
      </c>
      <c r="C136" s="3">
        <v>31.4</v>
      </c>
      <c r="D136" s="3">
        <v>26.2</v>
      </c>
      <c r="E136" s="5">
        <f>EnergiaSolar[[#This Row],[Producido]]-EnergiaSolar[[#This Row],[Consumido]]</f>
        <v>5.1999999999999993</v>
      </c>
      <c r="F136" s="3">
        <f>EnergiaSolar[[#This Row],[Producido]]-EnergiaSolar[[#This Row],[Consumido]]</f>
        <v>5.1999999999999993</v>
      </c>
      <c r="G136" s="5" cm="1">
        <f t="array" ref="G136">EnergiaSolar[[#This Row],[Variante ]]*CostPerKwh[Precio Promedio Kwh]</f>
        <v>1.6119999999999999</v>
      </c>
    </row>
    <row r="137" spans="1:7" x14ac:dyDescent="0.25">
      <c r="A137" s="2">
        <v>44810</v>
      </c>
      <c r="B137">
        <v>8</v>
      </c>
      <c r="C137" s="3">
        <v>33.6</v>
      </c>
      <c r="D137" s="3">
        <v>26.6</v>
      </c>
      <c r="E137" s="5">
        <f>EnergiaSolar[[#This Row],[Producido]]-EnergiaSolar[[#This Row],[Consumido]]</f>
        <v>7</v>
      </c>
      <c r="F137" s="3">
        <f>EnergiaSolar[[#This Row],[Producido]]-EnergiaSolar[[#This Row],[Consumido]]</f>
        <v>7</v>
      </c>
      <c r="G137" s="5" cm="1">
        <f t="array" ref="G137">EnergiaSolar[[#This Row],[Variante ]]*CostPerKwh[Precio Promedio Kwh]</f>
        <v>2.17</v>
      </c>
    </row>
    <row r="138" spans="1:7" x14ac:dyDescent="0.25">
      <c r="A138" s="2">
        <v>44811</v>
      </c>
      <c r="B138">
        <v>8</v>
      </c>
      <c r="C138" s="3">
        <v>30.9</v>
      </c>
      <c r="D138" s="3">
        <v>34.5</v>
      </c>
      <c r="E138" s="5">
        <f>EnergiaSolar[[#This Row],[Producido]]-EnergiaSolar[[#This Row],[Consumido]]</f>
        <v>-3.6000000000000014</v>
      </c>
      <c r="F138" s="3">
        <f>EnergiaSolar[[#This Row],[Producido]]-EnergiaSolar[[#This Row],[Consumido]]</f>
        <v>-3.6000000000000014</v>
      </c>
      <c r="G138" s="5" cm="1">
        <f t="array" ref="G138">EnergiaSolar[[#This Row],[Variante ]]*CostPerKwh[Precio Promedio Kwh]</f>
        <v>-1.1160000000000003</v>
      </c>
    </row>
    <row r="139" spans="1:7" x14ac:dyDescent="0.25">
      <c r="A139" s="2">
        <v>44812</v>
      </c>
      <c r="B139">
        <v>8</v>
      </c>
      <c r="C139" s="3">
        <v>33.299999999999997</v>
      </c>
      <c r="D139" s="3">
        <v>39.5</v>
      </c>
      <c r="E139" s="5">
        <f>EnergiaSolar[[#This Row],[Producido]]-EnergiaSolar[[#This Row],[Consumido]]</f>
        <v>-6.2000000000000028</v>
      </c>
      <c r="F139" s="3">
        <f>EnergiaSolar[[#This Row],[Producido]]-EnergiaSolar[[#This Row],[Consumido]]</f>
        <v>-6.2000000000000028</v>
      </c>
      <c r="G139" s="5" cm="1">
        <f t="array" ref="G139">EnergiaSolar[[#This Row],[Variante ]]*CostPerKwh[Precio Promedio Kwh]</f>
        <v>-1.9220000000000008</v>
      </c>
    </row>
    <row r="140" spans="1:7" x14ac:dyDescent="0.25">
      <c r="A140" s="2">
        <v>44813</v>
      </c>
      <c r="B140">
        <v>8</v>
      </c>
      <c r="C140" s="3">
        <v>21.5</v>
      </c>
      <c r="D140" s="3">
        <v>32.6</v>
      </c>
      <c r="E140" s="5">
        <f>EnergiaSolar[[#This Row],[Producido]]-EnergiaSolar[[#This Row],[Consumido]]</f>
        <v>-11.100000000000001</v>
      </c>
      <c r="F140" s="3">
        <f>EnergiaSolar[[#This Row],[Producido]]-EnergiaSolar[[#This Row],[Consumido]]</f>
        <v>-11.100000000000001</v>
      </c>
      <c r="G140" s="5" cm="1">
        <f t="array" ref="G140">EnergiaSolar[[#This Row],[Variante ]]*CostPerKwh[Precio Promedio Kwh]</f>
        <v>-3.4410000000000003</v>
      </c>
    </row>
    <row r="141" spans="1:7" x14ac:dyDescent="0.25">
      <c r="A141" s="2">
        <v>44814</v>
      </c>
      <c r="B141">
        <v>8</v>
      </c>
      <c r="C141" s="3">
        <v>26.4</v>
      </c>
      <c r="D141" s="3">
        <v>23.7</v>
      </c>
      <c r="E141" s="5">
        <f>EnergiaSolar[[#This Row],[Producido]]-EnergiaSolar[[#This Row],[Consumido]]</f>
        <v>2.6999999999999993</v>
      </c>
      <c r="F141" s="3">
        <f>EnergiaSolar[[#This Row],[Producido]]-EnergiaSolar[[#This Row],[Consumido]]</f>
        <v>2.6999999999999993</v>
      </c>
      <c r="G141" s="5" cm="1">
        <f t="array" ref="G141">EnergiaSolar[[#This Row],[Variante ]]*CostPerKwh[Precio Promedio Kwh]</f>
        <v>0.83699999999999974</v>
      </c>
    </row>
    <row r="142" spans="1:7" x14ac:dyDescent="0.25">
      <c r="A142" s="2">
        <v>44815</v>
      </c>
      <c r="B142">
        <v>8</v>
      </c>
      <c r="C142" s="3">
        <v>25.5</v>
      </c>
      <c r="D142" s="3">
        <v>29.8</v>
      </c>
      <c r="E142" s="5">
        <f>EnergiaSolar[[#This Row],[Producido]]-EnergiaSolar[[#This Row],[Consumido]]</f>
        <v>-4.3000000000000007</v>
      </c>
      <c r="F142" s="3">
        <f>EnergiaSolar[[#This Row],[Producido]]-EnergiaSolar[[#This Row],[Consumido]]</f>
        <v>-4.3000000000000007</v>
      </c>
      <c r="G142" s="5" cm="1">
        <f t="array" ref="G142">EnergiaSolar[[#This Row],[Variante ]]*CostPerKwh[Precio Promedio Kwh]</f>
        <v>-1.3330000000000002</v>
      </c>
    </row>
    <row r="143" spans="1:7" x14ac:dyDescent="0.25">
      <c r="A143" s="2">
        <v>44816</v>
      </c>
      <c r="B143">
        <v>8</v>
      </c>
      <c r="C143" s="3">
        <v>22.3</v>
      </c>
      <c r="D143" s="3">
        <v>24.7</v>
      </c>
      <c r="E143" s="5">
        <f>EnergiaSolar[[#This Row],[Producido]]-EnergiaSolar[[#This Row],[Consumido]]</f>
        <v>-2.3999999999999986</v>
      </c>
      <c r="F143" s="3">
        <f>EnergiaSolar[[#This Row],[Producido]]-EnergiaSolar[[#This Row],[Consumido]]</f>
        <v>-2.3999999999999986</v>
      </c>
      <c r="G143" s="5" cm="1">
        <f t="array" ref="G143">EnergiaSolar[[#This Row],[Variante ]]*CostPerKwh[Precio Promedio Kwh]</f>
        <v>-0.74399999999999955</v>
      </c>
    </row>
    <row r="144" spans="1:7" x14ac:dyDescent="0.25">
      <c r="A144" s="2">
        <v>44817</v>
      </c>
      <c r="B144">
        <v>9</v>
      </c>
      <c r="C144" s="3">
        <v>32</v>
      </c>
      <c r="D144" s="3">
        <v>29.4</v>
      </c>
      <c r="E144" s="5">
        <f>EnergiaSolar[[#This Row],[Producido]]-EnergiaSolar[[#This Row],[Consumido]]</f>
        <v>2.6000000000000014</v>
      </c>
      <c r="F144" s="3">
        <f>EnergiaSolar[[#This Row],[Producido]]-EnergiaSolar[[#This Row],[Consumido]]</f>
        <v>2.6000000000000014</v>
      </c>
      <c r="G144" s="5" cm="1">
        <f t="array" ref="G144">EnergiaSolar[[#This Row],[Variante ]]*CostPerKwh[Precio Promedio Kwh]</f>
        <v>0.80600000000000038</v>
      </c>
    </row>
    <row r="145" spans="1:7" x14ac:dyDescent="0.25">
      <c r="A145" s="2">
        <v>44818</v>
      </c>
      <c r="B145">
        <v>9</v>
      </c>
      <c r="C145" s="3">
        <v>33.299999999999997</v>
      </c>
      <c r="D145" s="3">
        <v>34</v>
      </c>
      <c r="E145" s="5">
        <f>EnergiaSolar[[#This Row],[Producido]]-EnergiaSolar[[#This Row],[Consumido]]</f>
        <v>-0.70000000000000284</v>
      </c>
      <c r="F145" s="3">
        <f>EnergiaSolar[[#This Row],[Producido]]-EnergiaSolar[[#This Row],[Consumido]]</f>
        <v>-0.70000000000000284</v>
      </c>
      <c r="G145" s="5" cm="1">
        <f t="array" ref="G145">EnergiaSolar[[#This Row],[Variante ]]*CostPerKwh[Precio Promedio Kwh]</f>
        <v>-0.21700000000000089</v>
      </c>
    </row>
    <row r="146" spans="1:7" x14ac:dyDescent="0.25">
      <c r="A146" s="2">
        <v>44819</v>
      </c>
      <c r="B146">
        <v>9</v>
      </c>
      <c r="C146" s="3">
        <v>29.3</v>
      </c>
      <c r="D146" s="3">
        <v>38.799999999999997</v>
      </c>
      <c r="E146" s="5">
        <f>EnergiaSolar[[#This Row],[Producido]]-EnergiaSolar[[#This Row],[Consumido]]</f>
        <v>-9.4999999999999964</v>
      </c>
      <c r="F146" s="3">
        <f>EnergiaSolar[[#This Row],[Producido]]-EnergiaSolar[[#This Row],[Consumido]]</f>
        <v>-9.4999999999999964</v>
      </c>
      <c r="G146" s="5" cm="1">
        <f t="array" ref="G146">EnergiaSolar[[#This Row],[Variante ]]*CostPerKwh[Precio Promedio Kwh]</f>
        <v>-2.944999999999999</v>
      </c>
    </row>
    <row r="147" spans="1:7" x14ac:dyDescent="0.25">
      <c r="A147" s="2">
        <v>44820</v>
      </c>
      <c r="B147">
        <v>9</v>
      </c>
      <c r="C147" s="3">
        <v>27.6</v>
      </c>
      <c r="D147" s="3">
        <v>33.4</v>
      </c>
      <c r="E147" s="5">
        <f>EnergiaSolar[[#This Row],[Producido]]-EnergiaSolar[[#This Row],[Consumido]]</f>
        <v>-5.7999999999999972</v>
      </c>
      <c r="F147" s="3">
        <f>EnergiaSolar[[#This Row],[Producido]]-EnergiaSolar[[#This Row],[Consumido]]</f>
        <v>-5.7999999999999972</v>
      </c>
      <c r="G147" s="5" cm="1">
        <f t="array" ref="G147">EnergiaSolar[[#This Row],[Variante ]]*CostPerKwh[Precio Promedio Kwh]</f>
        <v>-1.7979999999999992</v>
      </c>
    </row>
    <row r="148" spans="1:7" x14ac:dyDescent="0.25">
      <c r="A148" s="2">
        <v>44821</v>
      </c>
      <c r="B148">
        <v>9</v>
      </c>
      <c r="C148" s="3">
        <v>23.6</v>
      </c>
      <c r="D148" s="3">
        <v>34.200000000000003</v>
      </c>
      <c r="E148" s="5">
        <f>EnergiaSolar[[#This Row],[Producido]]-EnergiaSolar[[#This Row],[Consumido]]</f>
        <v>-10.600000000000001</v>
      </c>
      <c r="F148" s="3">
        <f>EnergiaSolar[[#This Row],[Producido]]-EnergiaSolar[[#This Row],[Consumido]]</f>
        <v>-10.600000000000001</v>
      </c>
      <c r="G148" s="5" cm="1">
        <f t="array" ref="G148">EnergiaSolar[[#This Row],[Variante ]]*CostPerKwh[Precio Promedio Kwh]</f>
        <v>-3.2860000000000005</v>
      </c>
    </row>
    <row r="149" spans="1:7" x14ac:dyDescent="0.25">
      <c r="A149" s="2">
        <v>44822</v>
      </c>
      <c r="B149">
        <v>9</v>
      </c>
      <c r="C149" s="3">
        <v>4.3</v>
      </c>
      <c r="D149" s="3">
        <v>13.6</v>
      </c>
      <c r="E149" s="5">
        <f>EnergiaSolar[[#This Row],[Producido]]-EnergiaSolar[[#This Row],[Consumido]]</f>
        <v>-9.3000000000000007</v>
      </c>
      <c r="F149" s="3">
        <f>EnergiaSolar[[#This Row],[Producido]]-EnergiaSolar[[#This Row],[Consumido]]</f>
        <v>-9.3000000000000007</v>
      </c>
      <c r="G149" s="5" cm="1">
        <f t="array" ref="G149">EnergiaSolar[[#This Row],[Variante ]]*CostPerKwh[Precio Promedio Kwh]</f>
        <v>-2.883</v>
      </c>
    </row>
    <row r="150" spans="1:7" x14ac:dyDescent="0.25">
      <c r="A150" s="2">
        <v>44823</v>
      </c>
      <c r="B150">
        <v>9</v>
      </c>
      <c r="C150" s="3">
        <v>5.2</v>
      </c>
      <c r="D150" s="3">
        <v>7.6</v>
      </c>
      <c r="E150" s="5">
        <f>EnergiaSolar[[#This Row],[Producido]]-EnergiaSolar[[#This Row],[Consumido]]</f>
        <v>-2.3999999999999995</v>
      </c>
      <c r="F150" s="3">
        <f>EnergiaSolar[[#This Row],[Producido]]-EnergiaSolar[[#This Row],[Consumido]]</f>
        <v>-2.3999999999999995</v>
      </c>
      <c r="G150" s="5" cm="1">
        <f t="array" ref="G150">EnergiaSolar[[#This Row],[Variante ]]*CostPerKwh[Precio Promedio Kwh]</f>
        <v>-0.74399999999999988</v>
      </c>
    </row>
    <row r="151" spans="1:7" x14ac:dyDescent="0.25">
      <c r="A151" s="2">
        <v>44824</v>
      </c>
      <c r="B151">
        <v>9</v>
      </c>
      <c r="C151" s="3">
        <v>20.2</v>
      </c>
      <c r="D151" s="3">
        <v>16.2</v>
      </c>
      <c r="E151" s="5">
        <f>EnergiaSolar[[#This Row],[Producido]]-EnergiaSolar[[#This Row],[Consumido]]</f>
        <v>4</v>
      </c>
      <c r="F151" s="3">
        <f>EnergiaSolar[[#This Row],[Producido]]-EnergiaSolar[[#This Row],[Consumido]]</f>
        <v>4</v>
      </c>
      <c r="G151" s="5" cm="1">
        <f t="array" ref="G151">EnergiaSolar[[#This Row],[Variante ]]*CostPerKwh[Precio Promedio Kwh]</f>
        <v>1.24</v>
      </c>
    </row>
    <row r="152" spans="1:7" x14ac:dyDescent="0.25">
      <c r="A152" s="2">
        <v>44825</v>
      </c>
      <c r="B152">
        <v>9</v>
      </c>
      <c r="C152" s="3">
        <v>20.7</v>
      </c>
      <c r="D152" s="3">
        <v>20.5</v>
      </c>
      <c r="E152" s="5">
        <f>EnergiaSolar[[#This Row],[Producido]]-EnergiaSolar[[#This Row],[Consumido]]</f>
        <v>0.19999999999999929</v>
      </c>
      <c r="F152" s="3">
        <f>EnergiaSolar[[#This Row],[Producido]]-EnergiaSolar[[#This Row],[Consumido]]</f>
        <v>0.19999999999999929</v>
      </c>
      <c r="G152" s="5" cm="1">
        <f t="array" ref="G152">EnergiaSolar[[#This Row],[Variante ]]*CostPerKwh[Precio Promedio Kwh]</f>
        <v>6.1999999999999778E-2</v>
      </c>
    </row>
    <row r="153" spans="1:7" x14ac:dyDescent="0.25">
      <c r="A153" s="2">
        <v>44826</v>
      </c>
      <c r="B153">
        <v>9</v>
      </c>
      <c r="C153" s="3">
        <v>16.600000000000001</v>
      </c>
      <c r="D153" s="3">
        <v>16.100000000000001</v>
      </c>
      <c r="E153" s="5">
        <f>EnergiaSolar[[#This Row],[Producido]]-EnergiaSolar[[#This Row],[Consumido]]</f>
        <v>0.5</v>
      </c>
      <c r="F153" s="3">
        <f>EnergiaSolar[[#This Row],[Producido]]-EnergiaSolar[[#This Row],[Consumido]]</f>
        <v>0.5</v>
      </c>
      <c r="G153" s="5" cm="1">
        <f t="array" ref="G153">EnergiaSolar[[#This Row],[Variante ]]*CostPerKwh[Precio Promedio Kwh]</f>
        <v>0.155</v>
      </c>
    </row>
    <row r="154" spans="1:7" x14ac:dyDescent="0.25">
      <c r="A154" s="2">
        <v>44827</v>
      </c>
      <c r="B154">
        <v>9</v>
      </c>
      <c r="C154" s="3">
        <v>14.4</v>
      </c>
      <c r="D154" s="3">
        <v>13.7</v>
      </c>
      <c r="E154" s="5">
        <f>EnergiaSolar[[#This Row],[Producido]]-EnergiaSolar[[#This Row],[Consumido]]</f>
        <v>0.70000000000000107</v>
      </c>
      <c r="F154" s="3">
        <f>EnergiaSolar[[#This Row],[Producido]]-EnergiaSolar[[#This Row],[Consumido]]</f>
        <v>0.70000000000000107</v>
      </c>
      <c r="G154" s="5" cm="1">
        <f t="array" ref="G154">EnergiaSolar[[#This Row],[Variante ]]*CostPerKwh[Precio Promedio Kwh]</f>
        <v>0.21700000000000033</v>
      </c>
    </row>
    <row r="155" spans="1:7" x14ac:dyDescent="0.25">
      <c r="A155" s="2">
        <v>44828</v>
      </c>
      <c r="B155">
        <v>9</v>
      </c>
      <c r="C155" s="3">
        <v>19.3</v>
      </c>
      <c r="D155" s="3">
        <v>17.600000000000001</v>
      </c>
      <c r="E155" s="5">
        <f>EnergiaSolar[[#This Row],[Producido]]-EnergiaSolar[[#This Row],[Consumido]]</f>
        <v>1.6999999999999993</v>
      </c>
      <c r="F155" s="3">
        <f>EnergiaSolar[[#This Row],[Producido]]-EnergiaSolar[[#This Row],[Consumido]]</f>
        <v>1.6999999999999993</v>
      </c>
      <c r="G155" s="5" cm="1">
        <f t="array" ref="G155">EnergiaSolar[[#This Row],[Variante ]]*CostPerKwh[Precio Promedio Kwh]</f>
        <v>0.5269999999999998</v>
      </c>
    </row>
    <row r="156" spans="1:7" x14ac:dyDescent="0.25">
      <c r="A156" s="2">
        <v>44829</v>
      </c>
      <c r="B156">
        <v>9</v>
      </c>
      <c r="C156" s="3">
        <v>19.2</v>
      </c>
      <c r="D156" s="3">
        <v>18.2</v>
      </c>
      <c r="E156" s="5">
        <f>EnergiaSolar[[#This Row],[Producido]]-EnergiaSolar[[#This Row],[Consumido]]</f>
        <v>1</v>
      </c>
      <c r="F156" s="3">
        <f>EnergiaSolar[[#This Row],[Producido]]-EnergiaSolar[[#This Row],[Consumido]]</f>
        <v>1</v>
      </c>
      <c r="G156" s="5" cm="1">
        <f t="array" ref="G156">EnergiaSolar[[#This Row],[Variante ]]*CostPerKwh[Precio Promedio Kwh]</f>
        <v>0.31</v>
      </c>
    </row>
    <row r="157" spans="1:7" x14ac:dyDescent="0.25">
      <c r="A157" s="2">
        <v>44830</v>
      </c>
      <c r="B157">
        <v>9</v>
      </c>
      <c r="C157" s="3">
        <v>19.399999999999999</v>
      </c>
      <c r="D157" s="3">
        <v>18.600000000000001</v>
      </c>
      <c r="E157" s="5">
        <f>EnergiaSolar[[#This Row],[Producido]]-EnergiaSolar[[#This Row],[Consumido]]</f>
        <v>0.79999999999999716</v>
      </c>
      <c r="F157" s="3">
        <f>EnergiaSolar[[#This Row],[Producido]]-EnergiaSolar[[#This Row],[Consumido]]</f>
        <v>0.79999999999999716</v>
      </c>
      <c r="G157" s="5" cm="1">
        <f t="array" ref="G157">EnergiaSolar[[#This Row],[Variante ]]*CostPerKwh[Precio Promedio Kwh]</f>
        <v>0.24799999999999911</v>
      </c>
    </row>
    <row r="158" spans="1:7" x14ac:dyDescent="0.25">
      <c r="A158" s="2">
        <v>44831</v>
      </c>
      <c r="B158">
        <v>9</v>
      </c>
      <c r="C158" s="3">
        <v>18.2</v>
      </c>
      <c r="D158" s="3">
        <v>21.4</v>
      </c>
      <c r="E158" s="5">
        <f>EnergiaSolar[[#This Row],[Producido]]-EnergiaSolar[[#This Row],[Consumido]]</f>
        <v>-3.1999999999999993</v>
      </c>
      <c r="F158" s="3">
        <f>EnergiaSolar[[#This Row],[Producido]]-EnergiaSolar[[#This Row],[Consumido]]</f>
        <v>-3.1999999999999993</v>
      </c>
      <c r="G158" s="5" cm="1">
        <f t="array" ref="G158">EnergiaSolar[[#This Row],[Variante ]]*CostPerKwh[Precio Promedio Kwh]</f>
        <v>-0.99199999999999977</v>
      </c>
    </row>
    <row r="159" spans="1:7" x14ac:dyDescent="0.25">
      <c r="A159" s="2">
        <v>44832</v>
      </c>
      <c r="B159">
        <v>9</v>
      </c>
      <c r="C159" s="3">
        <v>21.4</v>
      </c>
      <c r="D159" s="3">
        <v>22.8</v>
      </c>
      <c r="E159" s="5">
        <f>EnergiaSolar[[#This Row],[Producido]]-EnergiaSolar[[#This Row],[Consumido]]</f>
        <v>-1.4000000000000021</v>
      </c>
      <c r="F159" s="3">
        <f>EnergiaSolar[[#This Row],[Producido]]-EnergiaSolar[[#This Row],[Consumido]]</f>
        <v>-1.4000000000000021</v>
      </c>
      <c r="G159" s="5" cm="1">
        <f t="array" ref="G159">EnergiaSolar[[#This Row],[Variante ]]*CostPerKwh[Precio Promedio Kwh]</f>
        <v>-0.43400000000000066</v>
      </c>
    </row>
    <row r="160" spans="1:7" x14ac:dyDescent="0.25">
      <c r="A160" s="2">
        <v>44833</v>
      </c>
      <c r="B160">
        <v>9</v>
      </c>
      <c r="C160" s="3">
        <v>18.399999999999999</v>
      </c>
      <c r="D160" s="3">
        <v>21.1</v>
      </c>
      <c r="E160" s="5">
        <f>EnergiaSolar[[#This Row],[Producido]]-EnergiaSolar[[#This Row],[Consumido]]</f>
        <v>-2.7000000000000028</v>
      </c>
      <c r="F160" s="3">
        <f>EnergiaSolar[[#This Row],[Producido]]-EnergiaSolar[[#This Row],[Consumido]]</f>
        <v>-2.7000000000000028</v>
      </c>
      <c r="G160" s="5" cm="1">
        <f t="array" ref="G160">EnergiaSolar[[#This Row],[Variante ]]*CostPerKwh[Precio Promedio Kwh]</f>
        <v>-0.83700000000000085</v>
      </c>
    </row>
    <row r="161" spans="1:7" x14ac:dyDescent="0.25">
      <c r="A161" s="2">
        <v>44834</v>
      </c>
      <c r="B161">
        <v>9</v>
      </c>
      <c r="C161" s="3">
        <v>19.2</v>
      </c>
      <c r="D161" s="3">
        <v>21.8</v>
      </c>
      <c r="E161" s="5">
        <f>EnergiaSolar[[#This Row],[Producido]]-EnergiaSolar[[#This Row],[Consumido]]</f>
        <v>-2.6000000000000014</v>
      </c>
      <c r="F161" s="3">
        <f>EnergiaSolar[[#This Row],[Producido]]-EnergiaSolar[[#This Row],[Consumido]]</f>
        <v>-2.6000000000000014</v>
      </c>
      <c r="G161" s="5" cm="1">
        <f t="array" ref="G161">EnergiaSolar[[#This Row],[Variante ]]*CostPerKwh[Precio Promedio Kwh]</f>
        <v>-0.80600000000000038</v>
      </c>
    </row>
    <row r="162" spans="1:7" x14ac:dyDescent="0.25">
      <c r="A162" s="2">
        <v>44835</v>
      </c>
      <c r="B162">
        <v>9</v>
      </c>
      <c r="C162" s="3">
        <v>18.7</v>
      </c>
      <c r="D162" s="3">
        <v>24.8</v>
      </c>
      <c r="E162" s="5">
        <f>EnergiaSolar[[#This Row],[Producido]]-EnergiaSolar[[#This Row],[Consumido]]</f>
        <v>-6.1000000000000014</v>
      </c>
      <c r="F162" s="3">
        <f>EnergiaSolar[[#This Row],[Producido]]-EnergiaSolar[[#This Row],[Consumido]]</f>
        <v>-6.1000000000000014</v>
      </c>
      <c r="G162" s="5" cm="1">
        <f t="array" ref="G162">EnergiaSolar[[#This Row],[Variante ]]*CostPerKwh[Precio Promedio Kwh]</f>
        <v>-1.8910000000000005</v>
      </c>
    </row>
    <row r="163" spans="1:7" x14ac:dyDescent="0.25">
      <c r="A163" s="2">
        <v>44836</v>
      </c>
      <c r="B163">
        <v>9</v>
      </c>
      <c r="C163" s="3">
        <v>23.3</v>
      </c>
      <c r="D163" s="3">
        <v>25.9</v>
      </c>
      <c r="E163" s="5">
        <f>EnergiaSolar[[#This Row],[Producido]]-EnergiaSolar[[#This Row],[Consumido]]</f>
        <v>-2.5999999999999979</v>
      </c>
      <c r="F163" s="3">
        <f>EnergiaSolar[[#This Row],[Producido]]-EnergiaSolar[[#This Row],[Consumido]]</f>
        <v>-2.5999999999999979</v>
      </c>
      <c r="G163" s="5" cm="1">
        <f t="array" ref="G163">EnergiaSolar[[#This Row],[Variante ]]*CostPerKwh[Precio Promedio Kwh]</f>
        <v>-0.80599999999999938</v>
      </c>
    </row>
    <row r="164" spans="1:7" x14ac:dyDescent="0.25">
      <c r="A164" s="2">
        <v>44837</v>
      </c>
      <c r="B164">
        <v>9</v>
      </c>
      <c r="C164" s="3">
        <v>27</v>
      </c>
      <c r="D164" s="3">
        <v>31.2</v>
      </c>
      <c r="E164" s="5">
        <f>EnergiaSolar[[#This Row],[Producido]]-EnergiaSolar[[#This Row],[Consumido]]</f>
        <v>-4.1999999999999993</v>
      </c>
      <c r="F164" s="3">
        <f>EnergiaSolar[[#This Row],[Producido]]-EnergiaSolar[[#This Row],[Consumido]]</f>
        <v>-4.1999999999999993</v>
      </c>
      <c r="G164" s="5" cm="1">
        <f t="array" ref="G164">EnergiaSolar[[#This Row],[Variante ]]*CostPerKwh[Precio Promedio Kwh]</f>
        <v>-1.3019999999999998</v>
      </c>
    </row>
    <row r="165" spans="1:7" x14ac:dyDescent="0.25">
      <c r="A165" s="2">
        <v>44838</v>
      </c>
      <c r="B165">
        <v>9</v>
      </c>
      <c r="C165" s="3">
        <v>24.6</v>
      </c>
      <c r="D165" s="3">
        <v>24.8</v>
      </c>
      <c r="E165" s="5">
        <f>EnergiaSolar[[#This Row],[Producido]]-EnergiaSolar[[#This Row],[Consumido]]</f>
        <v>-0.19999999999999929</v>
      </c>
      <c r="F165" s="3">
        <f>EnergiaSolar[[#This Row],[Producido]]-EnergiaSolar[[#This Row],[Consumido]]</f>
        <v>-0.19999999999999929</v>
      </c>
      <c r="G165" s="5" cm="1">
        <f t="array" ref="G165">EnergiaSolar[[#This Row],[Variante ]]*CostPerKwh[Precio Promedio Kwh]</f>
        <v>-6.1999999999999778E-2</v>
      </c>
    </row>
    <row r="166" spans="1:7" x14ac:dyDescent="0.25">
      <c r="A166" s="2">
        <v>44839</v>
      </c>
      <c r="B166">
        <v>9</v>
      </c>
      <c r="C166" s="3">
        <v>16.8</v>
      </c>
      <c r="D166" s="3">
        <v>21.4</v>
      </c>
      <c r="E166" s="5">
        <f>EnergiaSolar[[#This Row],[Producido]]-EnergiaSolar[[#This Row],[Consumido]]</f>
        <v>-4.5999999999999979</v>
      </c>
      <c r="F166" s="3">
        <f>EnergiaSolar[[#This Row],[Producido]]-EnergiaSolar[[#This Row],[Consumido]]</f>
        <v>-4.5999999999999979</v>
      </c>
      <c r="G166" s="5" cm="1">
        <f t="array" ref="G166">EnergiaSolar[[#This Row],[Variante ]]*CostPerKwh[Precio Promedio Kwh]</f>
        <v>-1.4259999999999993</v>
      </c>
    </row>
    <row r="167" spans="1:7" x14ac:dyDescent="0.25">
      <c r="A167" s="2">
        <v>44840</v>
      </c>
      <c r="B167">
        <v>9</v>
      </c>
      <c r="C167" s="3">
        <v>26.7</v>
      </c>
      <c r="D167" s="3">
        <v>27.9</v>
      </c>
      <c r="E167" s="5">
        <f>EnergiaSolar[[#This Row],[Producido]]-EnergiaSolar[[#This Row],[Consumido]]</f>
        <v>-1.1999999999999993</v>
      </c>
      <c r="F167" s="3">
        <f>EnergiaSolar[[#This Row],[Producido]]-EnergiaSolar[[#This Row],[Consumido]]</f>
        <v>-1.1999999999999993</v>
      </c>
      <c r="G167" s="5" cm="1">
        <f t="array" ref="G167">EnergiaSolar[[#This Row],[Variante ]]*CostPerKwh[Precio Promedio Kwh]</f>
        <v>-0.37199999999999978</v>
      </c>
    </row>
    <row r="168" spans="1:7" x14ac:dyDescent="0.25">
      <c r="A168" s="2">
        <v>44841</v>
      </c>
      <c r="B168">
        <v>9</v>
      </c>
      <c r="C168" s="3">
        <v>20.6</v>
      </c>
      <c r="D168" s="3">
        <v>25.9</v>
      </c>
      <c r="E168" s="5">
        <f>EnergiaSolar[[#This Row],[Producido]]-EnergiaSolar[[#This Row],[Consumido]]</f>
        <v>-5.2999999999999972</v>
      </c>
      <c r="F168" s="3">
        <f>EnergiaSolar[[#This Row],[Producido]]-EnergiaSolar[[#This Row],[Consumido]]</f>
        <v>-5.2999999999999972</v>
      </c>
      <c r="G168" s="5" cm="1">
        <f t="array" ref="G168">EnergiaSolar[[#This Row],[Variante ]]*CostPerKwh[Precio Promedio Kwh]</f>
        <v>-1.6429999999999991</v>
      </c>
    </row>
    <row r="169" spans="1:7" x14ac:dyDescent="0.25">
      <c r="A169" s="2">
        <v>44842</v>
      </c>
      <c r="B169">
        <v>9</v>
      </c>
      <c r="C169" s="3">
        <v>28.5</v>
      </c>
      <c r="D169" s="3">
        <v>31.8</v>
      </c>
      <c r="E169" s="5">
        <f>EnergiaSolar[[#This Row],[Producido]]-EnergiaSolar[[#This Row],[Consumido]]</f>
        <v>-3.3000000000000007</v>
      </c>
      <c r="F169" s="3">
        <f>EnergiaSolar[[#This Row],[Producido]]-EnergiaSolar[[#This Row],[Consumido]]</f>
        <v>-3.3000000000000007</v>
      </c>
      <c r="G169" s="5" cm="1">
        <f t="array" ref="G169">EnergiaSolar[[#This Row],[Variante ]]*CostPerKwh[Precio Promedio Kwh]</f>
        <v>-1.0230000000000001</v>
      </c>
    </row>
    <row r="170" spans="1:7" x14ac:dyDescent="0.25">
      <c r="A170" s="2">
        <v>44843</v>
      </c>
      <c r="B170">
        <v>9</v>
      </c>
      <c r="C170" s="3">
        <v>21.8</v>
      </c>
      <c r="D170" s="3">
        <v>25</v>
      </c>
      <c r="E170" s="5">
        <f>EnergiaSolar[[#This Row],[Producido]]-EnergiaSolar[[#This Row],[Consumido]]</f>
        <v>-3.1999999999999993</v>
      </c>
      <c r="F170" s="3">
        <f>EnergiaSolar[[#This Row],[Producido]]-EnergiaSolar[[#This Row],[Consumido]]</f>
        <v>-3.1999999999999993</v>
      </c>
      <c r="G170" s="5" cm="1">
        <f t="array" ref="G170">EnergiaSolar[[#This Row],[Variante ]]*CostPerKwh[Precio Promedio Kwh]</f>
        <v>-0.99199999999999977</v>
      </c>
    </row>
    <row r="171" spans="1:7" x14ac:dyDescent="0.25">
      <c r="A171" s="2">
        <v>44844</v>
      </c>
      <c r="B171">
        <v>9</v>
      </c>
      <c r="C171" s="3">
        <v>19.5</v>
      </c>
      <c r="D171" s="3">
        <v>22.1</v>
      </c>
      <c r="E171" s="5">
        <f>EnergiaSolar[[#This Row],[Producido]]-EnergiaSolar[[#This Row],[Consumido]]</f>
        <v>-2.6000000000000014</v>
      </c>
      <c r="F171" s="3">
        <f>EnergiaSolar[[#This Row],[Producido]]-EnergiaSolar[[#This Row],[Consumido]]</f>
        <v>-2.6000000000000014</v>
      </c>
      <c r="G171" s="5" cm="1">
        <f t="array" ref="G171">EnergiaSolar[[#This Row],[Variante ]]*CostPerKwh[Precio Promedio Kwh]</f>
        <v>-0.80600000000000038</v>
      </c>
    </row>
    <row r="172" spans="1:7" x14ac:dyDescent="0.25">
      <c r="A172" s="2">
        <v>44845</v>
      </c>
      <c r="B172">
        <v>9</v>
      </c>
      <c r="C172" s="3">
        <v>17.2</v>
      </c>
      <c r="D172" s="3">
        <v>19.3</v>
      </c>
      <c r="E172" s="5">
        <f>EnergiaSolar[[#This Row],[Producido]]-EnergiaSolar[[#This Row],[Consumido]]</f>
        <v>-2.1000000000000014</v>
      </c>
      <c r="F172" s="3">
        <f>EnergiaSolar[[#This Row],[Producido]]-EnergiaSolar[[#This Row],[Consumido]]</f>
        <v>-2.1000000000000014</v>
      </c>
      <c r="G172" s="5" cm="1">
        <f t="array" ref="G172">EnergiaSolar[[#This Row],[Variante ]]*CostPerKwh[Precio Promedio Kwh]</f>
        <v>-0.65100000000000047</v>
      </c>
    </row>
    <row r="173" spans="1:7" x14ac:dyDescent="0.25">
      <c r="A173" s="2">
        <v>44846</v>
      </c>
      <c r="B173">
        <v>9</v>
      </c>
      <c r="C173" s="3">
        <v>18.2</v>
      </c>
      <c r="D173" s="3">
        <v>18.399999999999999</v>
      </c>
      <c r="E173" s="5">
        <f>EnergiaSolar[[#This Row],[Producido]]-EnergiaSolar[[#This Row],[Consumido]]</f>
        <v>-0.19999999999999929</v>
      </c>
      <c r="F173" s="3">
        <f>EnergiaSolar[[#This Row],[Producido]]-EnergiaSolar[[#This Row],[Consumido]]</f>
        <v>-0.19999999999999929</v>
      </c>
      <c r="G173" s="5" cm="1">
        <f t="array" ref="G173">EnergiaSolar[[#This Row],[Variante ]]*CostPerKwh[Precio Promedio Kwh]</f>
        <v>-6.1999999999999778E-2</v>
      </c>
    </row>
    <row r="174" spans="1:7" x14ac:dyDescent="0.25">
      <c r="A174" s="2">
        <v>44847</v>
      </c>
      <c r="B174">
        <v>10</v>
      </c>
      <c r="C174" s="3">
        <v>25.3</v>
      </c>
      <c r="D174" s="3">
        <v>23.6</v>
      </c>
      <c r="E174" s="5">
        <f>EnergiaSolar[[#This Row],[Producido]]-EnergiaSolar[[#This Row],[Consumido]]</f>
        <v>1.6999999999999993</v>
      </c>
      <c r="F174" s="3">
        <f>EnergiaSolar[[#This Row],[Producido]]-EnergiaSolar[[#This Row],[Consumido]]</f>
        <v>1.6999999999999993</v>
      </c>
      <c r="G174" s="5" cm="1">
        <f t="array" ref="G174">EnergiaSolar[[#This Row],[Variante ]]*CostPerKwh[Precio Promedio Kwh]</f>
        <v>0.5269999999999998</v>
      </c>
    </row>
    <row r="175" spans="1:7" x14ac:dyDescent="0.25">
      <c r="A175" s="2">
        <v>44848</v>
      </c>
      <c r="B175">
        <v>10</v>
      </c>
      <c r="C175" s="3">
        <v>29.5</v>
      </c>
      <c r="D175" s="3">
        <v>26.4</v>
      </c>
      <c r="E175" s="5">
        <f>EnergiaSolar[[#This Row],[Producido]]-EnergiaSolar[[#This Row],[Consumido]]</f>
        <v>3.1000000000000014</v>
      </c>
      <c r="F175" s="3">
        <f>EnergiaSolar[[#This Row],[Producido]]-EnergiaSolar[[#This Row],[Consumido]]</f>
        <v>3.1000000000000014</v>
      </c>
      <c r="G175" s="5" cm="1">
        <f t="array" ref="G175">EnergiaSolar[[#This Row],[Variante ]]*CostPerKwh[Precio Promedio Kwh]</f>
        <v>0.96100000000000041</v>
      </c>
    </row>
    <row r="176" spans="1:7" x14ac:dyDescent="0.25">
      <c r="A176" s="2">
        <v>44849</v>
      </c>
      <c r="B176">
        <v>10</v>
      </c>
      <c r="C176" s="3">
        <v>24.9</v>
      </c>
      <c r="D176" s="3">
        <v>28.2</v>
      </c>
      <c r="E176" s="5">
        <f>EnergiaSolar[[#This Row],[Producido]]-EnergiaSolar[[#This Row],[Consumido]]</f>
        <v>-3.3000000000000007</v>
      </c>
      <c r="F176" s="3">
        <f>EnergiaSolar[[#This Row],[Producido]]-EnergiaSolar[[#This Row],[Consumido]]</f>
        <v>-3.3000000000000007</v>
      </c>
      <c r="G176" s="5" cm="1">
        <f t="array" ref="G176">EnergiaSolar[[#This Row],[Variante ]]*CostPerKwh[Precio Promedio Kwh]</f>
        <v>-1.0230000000000001</v>
      </c>
    </row>
    <row r="177" spans="1:7" x14ac:dyDescent="0.25">
      <c r="A177" s="2">
        <v>44850</v>
      </c>
      <c r="B177">
        <v>10</v>
      </c>
      <c r="C177" s="3">
        <v>28.8</v>
      </c>
      <c r="D177" s="3">
        <v>28.3</v>
      </c>
      <c r="E177" s="5">
        <f>EnergiaSolar[[#This Row],[Producido]]-EnergiaSolar[[#This Row],[Consumido]]</f>
        <v>0.5</v>
      </c>
      <c r="F177" s="3">
        <f>EnergiaSolar[[#This Row],[Producido]]-EnergiaSolar[[#This Row],[Consumido]]</f>
        <v>0.5</v>
      </c>
      <c r="G177" s="5" cm="1">
        <f t="array" ref="G177">EnergiaSolar[[#This Row],[Variante ]]*CostPerKwh[Precio Promedio Kwh]</f>
        <v>0.155</v>
      </c>
    </row>
    <row r="178" spans="1:7" x14ac:dyDescent="0.25">
      <c r="A178" s="2">
        <v>44851</v>
      </c>
      <c r="B178">
        <v>10</v>
      </c>
      <c r="C178" s="3">
        <v>23</v>
      </c>
      <c r="D178" s="3">
        <v>21</v>
      </c>
      <c r="E178" s="5">
        <f>EnergiaSolar[[#This Row],[Producido]]-EnergiaSolar[[#This Row],[Consumido]]</f>
        <v>2</v>
      </c>
      <c r="F178" s="3">
        <f>EnergiaSolar[[#This Row],[Producido]]-EnergiaSolar[[#This Row],[Consumido]]</f>
        <v>2</v>
      </c>
      <c r="G178" s="5" cm="1">
        <f t="array" ref="G178">EnergiaSolar[[#This Row],[Variante ]]*CostPerKwh[Precio Promedio Kwh]</f>
        <v>0.62</v>
      </c>
    </row>
    <row r="179" spans="1:7" x14ac:dyDescent="0.25">
      <c r="A179" s="2">
        <v>44852</v>
      </c>
      <c r="B179">
        <v>10</v>
      </c>
      <c r="C179" s="3">
        <v>17.5</v>
      </c>
      <c r="D179" s="3">
        <v>20.7</v>
      </c>
      <c r="E179" s="5">
        <f>EnergiaSolar[[#This Row],[Producido]]-EnergiaSolar[[#This Row],[Consumido]]</f>
        <v>-3.1999999999999993</v>
      </c>
      <c r="F179" s="3">
        <f>EnergiaSolar[[#This Row],[Producido]]-EnergiaSolar[[#This Row],[Consumido]]</f>
        <v>-3.1999999999999993</v>
      </c>
      <c r="G179" s="5" cm="1">
        <f t="array" ref="G179">EnergiaSolar[[#This Row],[Variante ]]*CostPerKwh[Precio Promedio Kwh]</f>
        <v>-0.99199999999999977</v>
      </c>
    </row>
    <row r="180" spans="1:7" x14ac:dyDescent="0.25">
      <c r="A180" s="2">
        <v>44853</v>
      </c>
      <c r="B180">
        <v>10</v>
      </c>
      <c r="C180" s="3">
        <v>24.5</v>
      </c>
      <c r="D180" s="3">
        <v>18.899999999999999</v>
      </c>
      <c r="E180" s="5">
        <f>EnergiaSolar[[#This Row],[Producido]]-EnergiaSolar[[#This Row],[Consumido]]</f>
        <v>5.6000000000000014</v>
      </c>
      <c r="F180" s="3">
        <f>EnergiaSolar[[#This Row],[Producido]]-EnergiaSolar[[#This Row],[Consumido]]</f>
        <v>5.6000000000000014</v>
      </c>
      <c r="G180" s="5" cm="1">
        <f t="array" ref="G180">EnergiaSolar[[#This Row],[Variante ]]*CostPerKwh[Precio Promedio Kwh]</f>
        <v>1.7360000000000004</v>
      </c>
    </row>
    <row r="181" spans="1:7" x14ac:dyDescent="0.25">
      <c r="A181" s="2">
        <v>44854</v>
      </c>
      <c r="B181">
        <v>10</v>
      </c>
      <c r="C181" s="3">
        <v>23.1</v>
      </c>
      <c r="D181" s="3">
        <v>23.8</v>
      </c>
      <c r="E181" s="5">
        <f>EnergiaSolar[[#This Row],[Producido]]-EnergiaSolar[[#This Row],[Consumido]]</f>
        <v>-0.69999999999999929</v>
      </c>
      <c r="F181" s="3">
        <f>EnergiaSolar[[#This Row],[Producido]]-EnergiaSolar[[#This Row],[Consumido]]</f>
        <v>-0.69999999999999929</v>
      </c>
      <c r="G181" s="5" cm="1">
        <f t="array" ref="G181">EnergiaSolar[[#This Row],[Variante ]]*CostPerKwh[Precio Promedio Kwh]</f>
        <v>-0.21699999999999978</v>
      </c>
    </row>
    <row r="182" spans="1:7" x14ac:dyDescent="0.25">
      <c r="A182" s="2">
        <v>44855</v>
      </c>
      <c r="B182">
        <v>10</v>
      </c>
      <c r="C182" s="3">
        <v>21.6</v>
      </c>
      <c r="D182" s="3">
        <v>24.8</v>
      </c>
      <c r="E182" s="5">
        <f>EnergiaSolar[[#This Row],[Producido]]-EnergiaSolar[[#This Row],[Consumido]]</f>
        <v>-3.1999999999999993</v>
      </c>
      <c r="F182" s="3">
        <f>EnergiaSolar[[#This Row],[Producido]]-EnergiaSolar[[#This Row],[Consumido]]</f>
        <v>-3.1999999999999993</v>
      </c>
      <c r="G182" s="5" cm="1">
        <f t="array" ref="G182">EnergiaSolar[[#This Row],[Variante ]]*CostPerKwh[Precio Promedio Kwh]</f>
        <v>-0.99199999999999977</v>
      </c>
    </row>
    <row r="183" spans="1:7" x14ac:dyDescent="0.25">
      <c r="A183" s="2">
        <v>44856</v>
      </c>
      <c r="B183">
        <v>10</v>
      </c>
      <c r="C183" s="3">
        <v>22.2</v>
      </c>
      <c r="D183" s="3">
        <v>24.4</v>
      </c>
      <c r="E183" s="5">
        <f>EnergiaSolar[[#This Row],[Producido]]-EnergiaSolar[[#This Row],[Consumido]]</f>
        <v>-2.1999999999999993</v>
      </c>
      <c r="F183" s="3">
        <f>EnergiaSolar[[#This Row],[Producido]]-EnergiaSolar[[#This Row],[Consumido]]</f>
        <v>-2.1999999999999993</v>
      </c>
      <c r="G183" s="5" cm="1">
        <f t="array" ref="G183">EnergiaSolar[[#This Row],[Variante ]]*CostPerKwh[Precio Promedio Kwh]</f>
        <v>-0.68199999999999983</v>
      </c>
    </row>
    <row r="184" spans="1:7" x14ac:dyDescent="0.25">
      <c r="A184" s="2">
        <v>44857</v>
      </c>
      <c r="B184">
        <v>10</v>
      </c>
      <c r="C184" s="3">
        <v>19.7</v>
      </c>
      <c r="D184" s="3">
        <v>23.8</v>
      </c>
      <c r="E184" s="5">
        <f>EnergiaSolar[[#This Row],[Producido]]-EnergiaSolar[[#This Row],[Consumido]]</f>
        <v>-4.1000000000000014</v>
      </c>
      <c r="F184" s="3">
        <f>EnergiaSolar[[#This Row],[Producido]]-EnergiaSolar[[#This Row],[Consumido]]</f>
        <v>-4.1000000000000014</v>
      </c>
      <c r="G184" s="5" cm="1">
        <f t="array" ref="G184">EnergiaSolar[[#This Row],[Variante ]]*CostPerKwh[Precio Promedio Kwh]</f>
        <v>-1.2710000000000004</v>
      </c>
    </row>
    <row r="185" spans="1:7" x14ac:dyDescent="0.25">
      <c r="A185" s="2">
        <v>44858</v>
      </c>
      <c r="B185">
        <v>10</v>
      </c>
      <c r="C185" s="3">
        <v>26.7</v>
      </c>
      <c r="D185" s="3">
        <v>20.100000000000001</v>
      </c>
      <c r="E185" s="5">
        <f>EnergiaSolar[[#This Row],[Producido]]-EnergiaSolar[[#This Row],[Consumido]]</f>
        <v>6.5999999999999979</v>
      </c>
      <c r="F185" s="3">
        <f>EnergiaSolar[[#This Row],[Producido]]-EnergiaSolar[[#This Row],[Consumido]]</f>
        <v>6.5999999999999979</v>
      </c>
      <c r="G185" s="5" cm="1">
        <f t="array" ref="G185">EnergiaSolar[[#This Row],[Variante ]]*CostPerKwh[Precio Promedio Kwh]</f>
        <v>2.0459999999999994</v>
      </c>
    </row>
    <row r="186" spans="1:7" x14ac:dyDescent="0.25">
      <c r="A186" s="2">
        <v>44859</v>
      </c>
      <c r="B186">
        <v>10</v>
      </c>
      <c r="C186" s="3">
        <v>17.2</v>
      </c>
      <c r="D186" s="3">
        <v>22.8</v>
      </c>
      <c r="E186" s="5">
        <f>EnergiaSolar[[#This Row],[Producido]]-EnergiaSolar[[#This Row],[Consumido]]</f>
        <v>-5.6000000000000014</v>
      </c>
      <c r="F186" s="3">
        <f>EnergiaSolar[[#This Row],[Producido]]-EnergiaSolar[[#This Row],[Consumido]]</f>
        <v>-5.6000000000000014</v>
      </c>
      <c r="G186" s="5" cm="1">
        <f t="array" ref="G186">EnergiaSolar[[#This Row],[Variante ]]*CostPerKwh[Precio Promedio Kwh]</f>
        <v>-1.7360000000000004</v>
      </c>
    </row>
    <row r="187" spans="1:7" x14ac:dyDescent="0.25">
      <c r="A187" s="2">
        <v>44860</v>
      </c>
      <c r="B187">
        <v>10</v>
      </c>
      <c r="C187" s="3">
        <v>11.7</v>
      </c>
      <c r="D187" s="3">
        <v>21.7</v>
      </c>
      <c r="E187" s="5">
        <f>EnergiaSolar[[#This Row],[Producido]]-EnergiaSolar[[#This Row],[Consumido]]</f>
        <v>-10</v>
      </c>
      <c r="F187" s="3">
        <f>EnergiaSolar[[#This Row],[Producido]]-EnergiaSolar[[#This Row],[Consumido]]</f>
        <v>-10</v>
      </c>
      <c r="G187" s="5" cm="1">
        <f t="array" ref="G187">EnergiaSolar[[#This Row],[Variante ]]*CostPerKwh[Precio Promedio Kwh]</f>
        <v>-3.1</v>
      </c>
    </row>
    <row r="188" spans="1:7" x14ac:dyDescent="0.25">
      <c r="A188" s="2">
        <v>44861</v>
      </c>
      <c r="B188">
        <v>10</v>
      </c>
      <c r="C188" s="3">
        <v>6.8</v>
      </c>
      <c r="D188" s="3">
        <v>22</v>
      </c>
      <c r="E188" s="5">
        <f>EnergiaSolar[[#This Row],[Producido]]-EnergiaSolar[[#This Row],[Consumido]]</f>
        <v>-15.2</v>
      </c>
      <c r="F188" s="3">
        <f>EnergiaSolar[[#This Row],[Producido]]-EnergiaSolar[[#This Row],[Consumido]]</f>
        <v>-15.2</v>
      </c>
      <c r="G188" s="5" cm="1">
        <f t="array" ref="G188">EnergiaSolar[[#This Row],[Variante ]]*CostPerKwh[Precio Promedio Kwh]</f>
        <v>-4.7119999999999997</v>
      </c>
    </row>
    <row r="189" spans="1:7" x14ac:dyDescent="0.25">
      <c r="A189" s="2">
        <v>44862</v>
      </c>
      <c r="B189">
        <v>10</v>
      </c>
      <c r="C189" s="3">
        <v>19.8</v>
      </c>
      <c r="D189" s="3">
        <v>26.8</v>
      </c>
      <c r="E189" s="5">
        <f>EnergiaSolar[[#This Row],[Producido]]-EnergiaSolar[[#This Row],[Consumido]]</f>
        <v>-7</v>
      </c>
      <c r="F189" s="3">
        <f>EnergiaSolar[[#This Row],[Producido]]-EnergiaSolar[[#This Row],[Consumido]]</f>
        <v>-7</v>
      </c>
      <c r="G189" s="5" cm="1">
        <f t="array" ref="G189">EnergiaSolar[[#This Row],[Variante ]]*CostPerKwh[Precio Promedio Kwh]</f>
        <v>-2.17</v>
      </c>
    </row>
    <row r="190" spans="1:7" x14ac:dyDescent="0.25">
      <c r="A190" s="2">
        <v>44863</v>
      </c>
      <c r="B190">
        <v>10</v>
      </c>
      <c r="C190" s="3">
        <v>12.5</v>
      </c>
      <c r="D190" s="3">
        <v>22.2</v>
      </c>
      <c r="E190" s="5">
        <f>EnergiaSolar[[#This Row],[Producido]]-EnergiaSolar[[#This Row],[Consumido]]</f>
        <v>-9.6999999999999993</v>
      </c>
      <c r="F190" s="3">
        <f>EnergiaSolar[[#This Row],[Producido]]-EnergiaSolar[[#This Row],[Consumido]]</f>
        <v>-9.6999999999999993</v>
      </c>
      <c r="G190" s="5" cm="1">
        <f t="array" ref="G190">EnergiaSolar[[#This Row],[Variante ]]*CostPerKwh[Precio Promedio Kwh]</f>
        <v>-3.0069999999999997</v>
      </c>
    </row>
    <row r="191" spans="1:7" x14ac:dyDescent="0.25">
      <c r="A191" s="2">
        <v>44864</v>
      </c>
      <c r="B191">
        <v>10</v>
      </c>
      <c r="C191" s="3">
        <v>10.1</v>
      </c>
      <c r="D191" s="3">
        <v>23.3</v>
      </c>
      <c r="E191" s="5">
        <f>EnergiaSolar[[#This Row],[Producido]]-EnergiaSolar[[#This Row],[Consumido]]</f>
        <v>-13.200000000000001</v>
      </c>
      <c r="F191" s="3">
        <f>EnergiaSolar[[#This Row],[Producido]]-EnergiaSolar[[#This Row],[Consumido]]</f>
        <v>-13.200000000000001</v>
      </c>
      <c r="G191" s="5" cm="1">
        <f t="array" ref="G191">EnergiaSolar[[#This Row],[Variante ]]*CostPerKwh[Precio Promedio Kwh]</f>
        <v>-4.0920000000000005</v>
      </c>
    </row>
    <row r="192" spans="1:7" x14ac:dyDescent="0.25">
      <c r="A192" s="2">
        <v>44865</v>
      </c>
      <c r="B192">
        <v>10</v>
      </c>
      <c r="C192" s="3">
        <v>15.8</v>
      </c>
      <c r="D192" s="3">
        <v>20</v>
      </c>
      <c r="E192" s="5">
        <f>EnergiaSolar[[#This Row],[Producido]]-EnergiaSolar[[#This Row],[Consumido]]</f>
        <v>-4.1999999999999993</v>
      </c>
      <c r="F192" s="3">
        <f>EnergiaSolar[[#This Row],[Producido]]-EnergiaSolar[[#This Row],[Consumido]]</f>
        <v>-4.1999999999999993</v>
      </c>
      <c r="G192" s="5" cm="1">
        <f t="array" ref="G192">EnergiaSolar[[#This Row],[Variante ]]*CostPerKwh[Precio Promedio Kwh]</f>
        <v>-1.3019999999999998</v>
      </c>
    </row>
    <row r="193" spans="1:7" x14ac:dyDescent="0.25">
      <c r="A193" s="2">
        <v>44866</v>
      </c>
      <c r="B193">
        <v>10</v>
      </c>
      <c r="C193" s="3">
        <v>19.7</v>
      </c>
      <c r="D193" s="3">
        <v>21.1</v>
      </c>
      <c r="E193" s="5">
        <f>EnergiaSolar[[#This Row],[Producido]]-EnergiaSolar[[#This Row],[Consumido]]</f>
        <v>-1.4000000000000021</v>
      </c>
      <c r="F193" s="3">
        <f>EnergiaSolar[[#This Row],[Producido]]-EnergiaSolar[[#This Row],[Consumido]]</f>
        <v>-1.4000000000000021</v>
      </c>
      <c r="G193" s="5" cm="1">
        <f t="array" ref="G193">EnergiaSolar[[#This Row],[Variante ]]*CostPerKwh[Precio Promedio Kwh]</f>
        <v>-0.43400000000000066</v>
      </c>
    </row>
    <row r="194" spans="1:7" x14ac:dyDescent="0.25">
      <c r="A194" s="2">
        <v>44867</v>
      </c>
      <c r="B194">
        <v>10</v>
      </c>
      <c r="C194" s="3">
        <v>21.5</v>
      </c>
      <c r="D194" s="3">
        <v>23.1</v>
      </c>
      <c r="E194" s="5">
        <f>EnergiaSolar[[#This Row],[Producido]]-EnergiaSolar[[#This Row],[Consumido]]</f>
        <v>-1.6000000000000014</v>
      </c>
      <c r="F194" s="3">
        <f>EnergiaSolar[[#This Row],[Producido]]-EnergiaSolar[[#This Row],[Consumido]]</f>
        <v>-1.6000000000000014</v>
      </c>
      <c r="G194" s="5" cm="1">
        <f t="array" ref="G194">EnergiaSolar[[#This Row],[Variante ]]*CostPerKwh[Precio Promedio Kwh]</f>
        <v>-0.49600000000000044</v>
      </c>
    </row>
    <row r="195" spans="1:7" x14ac:dyDescent="0.25">
      <c r="A195" s="2">
        <v>44868</v>
      </c>
      <c r="B195">
        <v>10</v>
      </c>
      <c r="C195" s="3">
        <v>23.5</v>
      </c>
      <c r="D195" s="3">
        <v>21.9</v>
      </c>
      <c r="E195" s="5">
        <f>EnergiaSolar[[#This Row],[Producido]]-EnergiaSolar[[#This Row],[Consumido]]</f>
        <v>1.6000000000000014</v>
      </c>
      <c r="F195" s="3">
        <f>EnergiaSolar[[#This Row],[Producido]]-EnergiaSolar[[#This Row],[Consumido]]</f>
        <v>1.6000000000000014</v>
      </c>
      <c r="G195" s="5" cm="1">
        <f t="array" ref="G195">EnergiaSolar[[#This Row],[Variante ]]*CostPerKwh[Precio Promedio Kwh]</f>
        <v>0.49600000000000044</v>
      </c>
    </row>
    <row r="196" spans="1:7" x14ac:dyDescent="0.25">
      <c r="A196" s="2">
        <v>44869</v>
      </c>
      <c r="B196">
        <v>10</v>
      </c>
      <c r="C196" s="3">
        <v>9.5</v>
      </c>
      <c r="D196" s="3">
        <v>22.3</v>
      </c>
      <c r="E196" s="5">
        <f>EnergiaSolar[[#This Row],[Producido]]-EnergiaSolar[[#This Row],[Consumido]]</f>
        <v>-12.8</v>
      </c>
      <c r="F196" s="3">
        <f>EnergiaSolar[[#This Row],[Producido]]-EnergiaSolar[[#This Row],[Consumido]]</f>
        <v>-12.8</v>
      </c>
      <c r="G196" s="5" cm="1">
        <f t="array" ref="G196">EnergiaSolar[[#This Row],[Variante ]]*CostPerKwh[Precio Promedio Kwh]</f>
        <v>-3.968</v>
      </c>
    </row>
    <row r="197" spans="1:7" x14ac:dyDescent="0.25">
      <c r="A197" s="2">
        <v>44870</v>
      </c>
      <c r="B197">
        <v>10</v>
      </c>
      <c r="C197" s="3">
        <v>1.6</v>
      </c>
      <c r="D197" s="3">
        <v>13.6</v>
      </c>
      <c r="E197" s="5">
        <f>EnergiaSolar[[#This Row],[Producido]]-EnergiaSolar[[#This Row],[Consumido]]</f>
        <v>-12</v>
      </c>
      <c r="F197" s="3">
        <f>EnergiaSolar[[#This Row],[Producido]]-EnergiaSolar[[#This Row],[Consumido]]</f>
        <v>-12</v>
      </c>
      <c r="G197" s="5" cm="1">
        <f t="array" ref="G197">EnergiaSolar[[#This Row],[Variante ]]*CostPerKwh[Precio Promedio Kwh]</f>
        <v>-3.7199999999999998</v>
      </c>
    </row>
    <row r="198" spans="1:7" x14ac:dyDescent="0.25">
      <c r="A198" s="2">
        <v>44871</v>
      </c>
      <c r="B198">
        <v>10</v>
      </c>
      <c r="C198" s="3">
        <v>26.5</v>
      </c>
      <c r="D198" s="3">
        <v>21</v>
      </c>
      <c r="E198" s="5">
        <f>EnergiaSolar[[#This Row],[Producido]]-EnergiaSolar[[#This Row],[Consumido]]</f>
        <v>5.5</v>
      </c>
      <c r="F198" s="3">
        <f>EnergiaSolar[[#This Row],[Producido]]-EnergiaSolar[[#This Row],[Consumido]]</f>
        <v>5.5</v>
      </c>
      <c r="G198" s="5" cm="1">
        <f t="array" ref="G198">EnergiaSolar[[#This Row],[Variante ]]*CostPerKwh[Precio Promedio Kwh]</f>
        <v>1.7050000000000001</v>
      </c>
    </row>
    <row r="199" spans="1:7" x14ac:dyDescent="0.25">
      <c r="A199" s="2">
        <v>44872</v>
      </c>
      <c r="B199">
        <v>10</v>
      </c>
      <c r="C199" s="3">
        <v>24.3</v>
      </c>
      <c r="D199" s="3">
        <v>22.2</v>
      </c>
      <c r="E199" s="5">
        <f>EnergiaSolar[[#This Row],[Producido]]-EnergiaSolar[[#This Row],[Consumido]]</f>
        <v>2.1000000000000014</v>
      </c>
      <c r="F199" s="3">
        <f>EnergiaSolar[[#This Row],[Producido]]-EnergiaSolar[[#This Row],[Consumido]]</f>
        <v>2.1000000000000014</v>
      </c>
      <c r="G199" s="5" cm="1">
        <f t="array" ref="G199">EnergiaSolar[[#This Row],[Variante ]]*CostPerKwh[Precio Promedio Kwh]</f>
        <v>0.65100000000000047</v>
      </c>
    </row>
    <row r="200" spans="1:7" x14ac:dyDescent="0.25">
      <c r="A200" s="2">
        <v>44873</v>
      </c>
      <c r="B200">
        <v>10</v>
      </c>
      <c r="C200" s="3">
        <v>16.5</v>
      </c>
      <c r="D200" s="3">
        <v>23.3</v>
      </c>
      <c r="E200" s="5">
        <f>EnergiaSolar[[#This Row],[Producido]]-EnergiaSolar[[#This Row],[Consumido]]</f>
        <v>-6.8000000000000007</v>
      </c>
      <c r="F200" s="3">
        <f>EnergiaSolar[[#This Row],[Producido]]-EnergiaSolar[[#This Row],[Consumido]]</f>
        <v>-6.8000000000000007</v>
      </c>
      <c r="G200" s="5" cm="1">
        <f t="array" ref="G200">EnergiaSolar[[#This Row],[Variante ]]*CostPerKwh[Precio Promedio Kwh]</f>
        <v>-2.1080000000000001</v>
      </c>
    </row>
    <row r="201" spans="1:7" x14ac:dyDescent="0.25">
      <c r="A201" s="2">
        <v>44874</v>
      </c>
      <c r="B201">
        <v>10</v>
      </c>
      <c r="C201" s="3">
        <v>14.2</v>
      </c>
      <c r="D201" s="3">
        <v>23.8</v>
      </c>
      <c r="E201" s="5">
        <f>EnergiaSolar[[#This Row],[Producido]]-EnergiaSolar[[#This Row],[Consumido]]</f>
        <v>-9.6000000000000014</v>
      </c>
      <c r="F201" s="3">
        <f>EnergiaSolar[[#This Row],[Producido]]-EnergiaSolar[[#This Row],[Consumido]]</f>
        <v>-9.6000000000000014</v>
      </c>
      <c r="G201" s="5" cm="1">
        <f t="array" ref="G201">EnergiaSolar[[#This Row],[Variante ]]*CostPerKwh[Precio Promedio Kwh]</f>
        <v>-2.9760000000000004</v>
      </c>
    </row>
    <row r="202" spans="1:7" x14ac:dyDescent="0.25">
      <c r="A202" s="2">
        <v>44875</v>
      </c>
      <c r="B202">
        <v>10</v>
      </c>
      <c r="C202" s="3">
        <v>24</v>
      </c>
      <c r="D202" s="3">
        <v>27</v>
      </c>
      <c r="E202" s="5">
        <f>EnergiaSolar[[#This Row],[Producido]]-EnergiaSolar[[#This Row],[Consumido]]</f>
        <v>-3</v>
      </c>
      <c r="F202" s="3">
        <f>EnergiaSolar[[#This Row],[Producido]]-EnergiaSolar[[#This Row],[Consumido]]</f>
        <v>-3</v>
      </c>
      <c r="G202" s="5" cm="1">
        <f t="array" ref="G202">EnergiaSolar[[#This Row],[Variante ]]*CostPerKwh[Precio Promedio Kwh]</f>
        <v>-0.92999999999999994</v>
      </c>
    </row>
    <row r="203" spans="1:7" x14ac:dyDescent="0.25">
      <c r="A203" s="2">
        <v>44876</v>
      </c>
      <c r="B203">
        <v>10</v>
      </c>
      <c r="C203" s="3">
        <v>22.7</v>
      </c>
      <c r="D203" s="3">
        <v>28.7</v>
      </c>
      <c r="E203" s="5">
        <f>EnergiaSolar[[#This Row],[Producido]]-EnergiaSolar[[#This Row],[Consumido]]</f>
        <v>-6</v>
      </c>
      <c r="F203" s="3">
        <f>EnergiaSolar[[#This Row],[Producido]]-EnergiaSolar[[#This Row],[Consumido]]</f>
        <v>-6</v>
      </c>
      <c r="G203" s="5" cm="1">
        <f t="array" ref="G203">EnergiaSolar[[#This Row],[Variante ]]*CostPerKwh[Precio Promedio Kwh]</f>
        <v>-1.8599999999999999</v>
      </c>
    </row>
    <row r="204" spans="1:7" x14ac:dyDescent="0.25">
      <c r="A204" s="2">
        <v>44877</v>
      </c>
      <c r="B204">
        <v>10</v>
      </c>
      <c r="C204" s="3">
        <v>17.7</v>
      </c>
      <c r="D204" s="3">
        <v>25.7</v>
      </c>
      <c r="E204" s="5">
        <f>EnergiaSolar[[#This Row],[Producido]]-EnergiaSolar[[#This Row],[Consumido]]</f>
        <v>-8</v>
      </c>
      <c r="F204" s="3">
        <f>EnergiaSolar[[#This Row],[Producido]]-EnergiaSolar[[#This Row],[Consumido]]</f>
        <v>-8</v>
      </c>
      <c r="G204" s="5" cm="1">
        <f t="array" ref="G204">EnergiaSolar[[#This Row],[Variante ]]*CostPerKwh[Precio Promedio Kwh]</f>
        <v>-2.48</v>
      </c>
    </row>
    <row r="205" spans="1:7" x14ac:dyDescent="0.25">
      <c r="A205" s="2">
        <v>44878</v>
      </c>
      <c r="B205">
        <v>11</v>
      </c>
      <c r="C205" s="3">
        <v>23.9</v>
      </c>
      <c r="D205" s="3">
        <v>26</v>
      </c>
      <c r="E205" s="5">
        <f>EnergiaSolar[[#This Row],[Producido]]-EnergiaSolar[[#This Row],[Consumido]]</f>
        <v>-2.1000000000000014</v>
      </c>
      <c r="F205" s="3">
        <f>EnergiaSolar[[#This Row],[Producido]]-EnergiaSolar[[#This Row],[Consumido]]</f>
        <v>-2.1000000000000014</v>
      </c>
      <c r="G205" s="5" cm="1">
        <f t="array" ref="G205">EnergiaSolar[[#This Row],[Variante ]]*CostPerKwh[Precio Promedio Kwh]</f>
        <v>-0.65100000000000047</v>
      </c>
    </row>
    <row r="206" spans="1:7" x14ac:dyDescent="0.25">
      <c r="A206" s="2">
        <v>44879</v>
      </c>
      <c r="B206">
        <v>11</v>
      </c>
      <c r="C206" s="3">
        <v>21.6</v>
      </c>
      <c r="D206" s="3">
        <v>23.3</v>
      </c>
      <c r="E206" s="5">
        <f>EnergiaSolar[[#This Row],[Producido]]-EnergiaSolar[[#This Row],[Consumido]]</f>
        <v>-1.6999999999999993</v>
      </c>
      <c r="F206" s="3">
        <f>EnergiaSolar[[#This Row],[Producido]]-EnergiaSolar[[#This Row],[Consumido]]</f>
        <v>-1.6999999999999993</v>
      </c>
      <c r="G206" s="5" cm="1">
        <f t="array" ref="G206">EnergiaSolar[[#This Row],[Variante ]]*CostPerKwh[Precio Promedio Kwh]</f>
        <v>-0.5269999999999998</v>
      </c>
    </row>
    <row r="207" spans="1:7" x14ac:dyDescent="0.25">
      <c r="A207" s="2">
        <v>44880</v>
      </c>
      <c r="B207">
        <v>11</v>
      </c>
      <c r="C207" s="3">
        <v>19.3</v>
      </c>
      <c r="D207" s="3">
        <v>24.5</v>
      </c>
      <c r="E207" s="5">
        <f>EnergiaSolar[[#This Row],[Producido]]-EnergiaSolar[[#This Row],[Consumido]]</f>
        <v>-5.1999999999999993</v>
      </c>
      <c r="F207" s="3">
        <f>EnergiaSolar[[#This Row],[Producido]]-EnergiaSolar[[#This Row],[Consumido]]</f>
        <v>-5.1999999999999993</v>
      </c>
      <c r="G207" s="5" cm="1">
        <f t="array" ref="G207">EnergiaSolar[[#This Row],[Variante ]]*CostPerKwh[Precio Promedio Kwh]</f>
        <v>-1.6119999999999999</v>
      </c>
    </row>
    <row r="208" spans="1:7" x14ac:dyDescent="0.25">
      <c r="A208" s="2">
        <v>44881</v>
      </c>
      <c r="B208">
        <v>11</v>
      </c>
      <c r="C208" s="3">
        <v>23.5</v>
      </c>
      <c r="D208" s="3">
        <v>24.3</v>
      </c>
      <c r="E208" s="5">
        <f>EnergiaSolar[[#This Row],[Producido]]-EnergiaSolar[[#This Row],[Consumido]]</f>
        <v>-0.80000000000000071</v>
      </c>
      <c r="F208" s="3">
        <f>EnergiaSolar[[#This Row],[Producido]]-EnergiaSolar[[#This Row],[Consumido]]</f>
        <v>-0.80000000000000071</v>
      </c>
      <c r="G208" s="5" cm="1">
        <f t="array" ref="G208">EnergiaSolar[[#This Row],[Variante ]]*CostPerKwh[Precio Promedio Kwh]</f>
        <v>-0.24800000000000022</v>
      </c>
    </row>
    <row r="209" spans="1:7" x14ac:dyDescent="0.25">
      <c r="A209" s="2">
        <v>44882</v>
      </c>
      <c r="B209">
        <v>11</v>
      </c>
      <c r="C209" s="3">
        <v>16.5</v>
      </c>
      <c r="D209" s="3">
        <v>24.4</v>
      </c>
      <c r="E209" s="5">
        <f>EnergiaSolar[[#This Row],[Producido]]-EnergiaSolar[[#This Row],[Consumido]]</f>
        <v>-7.8999999999999986</v>
      </c>
      <c r="F209" s="3">
        <f>EnergiaSolar[[#This Row],[Producido]]-EnergiaSolar[[#This Row],[Consumido]]</f>
        <v>-7.8999999999999986</v>
      </c>
      <c r="G209" s="5" cm="1">
        <f t="array" ref="G209">EnergiaSolar[[#This Row],[Variante ]]*CostPerKwh[Precio Promedio Kwh]</f>
        <v>-2.4489999999999994</v>
      </c>
    </row>
    <row r="210" spans="1:7" x14ac:dyDescent="0.25">
      <c r="A210" s="2">
        <v>44883</v>
      </c>
      <c r="B210">
        <v>11</v>
      </c>
      <c r="C210" s="3">
        <v>24.8</v>
      </c>
      <c r="D210" s="3">
        <v>23.2</v>
      </c>
      <c r="E210" s="5">
        <f>EnergiaSolar[[#This Row],[Producido]]-EnergiaSolar[[#This Row],[Consumido]]</f>
        <v>1.6000000000000014</v>
      </c>
      <c r="F210" s="3">
        <f>EnergiaSolar[[#This Row],[Producido]]-EnergiaSolar[[#This Row],[Consumido]]</f>
        <v>1.6000000000000014</v>
      </c>
      <c r="G210" s="5" cm="1">
        <f t="array" ref="G210">EnergiaSolar[[#This Row],[Variante ]]*CostPerKwh[Precio Promedio Kwh]</f>
        <v>0.49600000000000044</v>
      </c>
    </row>
    <row r="211" spans="1:7" x14ac:dyDescent="0.25">
      <c r="A211" s="2">
        <v>44884</v>
      </c>
      <c r="B211">
        <v>11</v>
      </c>
      <c r="C211" s="3">
        <v>22.3</v>
      </c>
      <c r="D211" s="3">
        <v>17.3</v>
      </c>
      <c r="E211" s="5">
        <f>EnergiaSolar[[#This Row],[Producido]]-EnergiaSolar[[#This Row],[Consumido]]</f>
        <v>5</v>
      </c>
      <c r="F211" s="3">
        <f>EnergiaSolar[[#This Row],[Producido]]-EnergiaSolar[[#This Row],[Consumido]]</f>
        <v>5</v>
      </c>
      <c r="G211" s="5" cm="1">
        <f t="array" ref="G211">EnergiaSolar[[#This Row],[Variante ]]*CostPerKwh[Precio Promedio Kwh]</f>
        <v>1.55</v>
      </c>
    </row>
    <row r="212" spans="1:7" x14ac:dyDescent="0.25">
      <c r="A212" s="2">
        <v>44885</v>
      </c>
      <c r="B212">
        <v>11</v>
      </c>
      <c r="C212" s="3">
        <v>23.8</v>
      </c>
      <c r="D212" s="3">
        <v>20.7</v>
      </c>
      <c r="E212" s="5">
        <f>EnergiaSolar[[#This Row],[Producido]]-EnergiaSolar[[#This Row],[Consumido]]</f>
        <v>3.1000000000000014</v>
      </c>
      <c r="F212" s="3">
        <f>EnergiaSolar[[#This Row],[Producido]]-EnergiaSolar[[#This Row],[Consumido]]</f>
        <v>3.1000000000000014</v>
      </c>
      <c r="G212" s="5" cm="1">
        <f t="array" ref="G212">EnergiaSolar[[#This Row],[Variante ]]*CostPerKwh[Precio Promedio Kwh]</f>
        <v>0.96100000000000041</v>
      </c>
    </row>
    <row r="213" spans="1:7" x14ac:dyDescent="0.25">
      <c r="A213" s="2">
        <v>44886</v>
      </c>
      <c r="B213">
        <v>11</v>
      </c>
      <c r="C213" s="3">
        <v>19.7</v>
      </c>
      <c r="D213" s="3">
        <v>23.8</v>
      </c>
      <c r="E213" s="5">
        <f>EnergiaSolar[[#This Row],[Producido]]-EnergiaSolar[[#This Row],[Consumido]]</f>
        <v>-4.1000000000000014</v>
      </c>
      <c r="F213" s="3">
        <f>EnergiaSolar[[#This Row],[Producido]]-EnergiaSolar[[#This Row],[Consumido]]</f>
        <v>-4.1000000000000014</v>
      </c>
      <c r="G213" s="5" cm="1">
        <f t="array" ref="G213">EnergiaSolar[[#This Row],[Variante ]]*CostPerKwh[Precio Promedio Kwh]</f>
        <v>-1.2710000000000004</v>
      </c>
    </row>
    <row r="214" spans="1:7" x14ac:dyDescent="0.25">
      <c r="A214" s="2">
        <v>44887</v>
      </c>
      <c r="B214">
        <v>11</v>
      </c>
      <c r="C214" s="3">
        <v>25.9</v>
      </c>
      <c r="D214" s="3">
        <v>24.6</v>
      </c>
      <c r="E214" s="5">
        <f>EnergiaSolar[[#This Row],[Producido]]-EnergiaSolar[[#This Row],[Consumido]]</f>
        <v>1.2999999999999972</v>
      </c>
      <c r="F214" s="3">
        <f>EnergiaSolar[[#This Row],[Producido]]-EnergiaSolar[[#This Row],[Consumido]]</f>
        <v>1.2999999999999972</v>
      </c>
      <c r="G214" s="5" cm="1">
        <f t="array" ref="G214">EnergiaSolar[[#This Row],[Variante ]]*CostPerKwh[Precio Promedio Kwh]</f>
        <v>0.40299999999999914</v>
      </c>
    </row>
    <row r="215" spans="1:7" x14ac:dyDescent="0.25">
      <c r="A215" s="2">
        <v>44888</v>
      </c>
      <c r="B215">
        <v>11</v>
      </c>
      <c r="C215" s="3">
        <v>16.899999999999999</v>
      </c>
      <c r="D215" s="3">
        <v>25.6</v>
      </c>
      <c r="E215" s="5">
        <f>EnergiaSolar[[#This Row],[Producido]]-EnergiaSolar[[#This Row],[Consumido]]</f>
        <v>-8.7000000000000028</v>
      </c>
      <c r="F215" s="3">
        <f>EnergiaSolar[[#This Row],[Producido]]-EnergiaSolar[[#This Row],[Consumido]]</f>
        <v>-8.7000000000000028</v>
      </c>
      <c r="G215" s="5" cm="1">
        <f t="array" ref="G215">EnergiaSolar[[#This Row],[Variante ]]*CostPerKwh[Precio Promedio Kwh]</f>
        <v>-2.697000000000001</v>
      </c>
    </row>
    <row r="216" spans="1:7" x14ac:dyDescent="0.25">
      <c r="A216" s="2">
        <v>44889</v>
      </c>
      <c r="B216">
        <v>11</v>
      </c>
      <c r="C216" s="3">
        <v>21.2</v>
      </c>
      <c r="D216" s="3">
        <v>22.8</v>
      </c>
      <c r="E216" s="5">
        <f>EnergiaSolar[[#This Row],[Producido]]-EnergiaSolar[[#This Row],[Consumido]]</f>
        <v>-1.6000000000000014</v>
      </c>
      <c r="F216" s="3">
        <f>EnergiaSolar[[#This Row],[Producido]]-EnergiaSolar[[#This Row],[Consumido]]</f>
        <v>-1.6000000000000014</v>
      </c>
      <c r="G216" s="5" cm="1">
        <f t="array" ref="G216">EnergiaSolar[[#This Row],[Variante ]]*CostPerKwh[Precio Promedio Kwh]</f>
        <v>-0.49600000000000044</v>
      </c>
    </row>
    <row r="217" spans="1:7" x14ac:dyDescent="0.25">
      <c r="A217" s="2">
        <v>44890</v>
      </c>
      <c r="B217">
        <v>11</v>
      </c>
      <c r="C217" s="3">
        <v>18.600000000000001</v>
      </c>
      <c r="D217" s="3">
        <v>25.2</v>
      </c>
      <c r="E217" s="5">
        <f>EnergiaSolar[[#This Row],[Producido]]-EnergiaSolar[[#This Row],[Consumido]]</f>
        <v>-6.5999999999999979</v>
      </c>
      <c r="F217" s="3">
        <f>EnergiaSolar[[#This Row],[Producido]]-EnergiaSolar[[#This Row],[Consumido]]</f>
        <v>-6.5999999999999979</v>
      </c>
      <c r="G217" s="5" cm="1">
        <f t="array" ref="G217">EnergiaSolar[[#This Row],[Variante ]]*CostPerKwh[Precio Promedio Kwh]</f>
        <v>-2.0459999999999994</v>
      </c>
    </row>
    <row r="218" spans="1:7" x14ac:dyDescent="0.25">
      <c r="A218" s="2">
        <v>44891</v>
      </c>
      <c r="B218">
        <v>11</v>
      </c>
      <c r="C218" s="3">
        <v>22</v>
      </c>
      <c r="D218" s="3">
        <v>26.6</v>
      </c>
      <c r="E218" s="5">
        <f>EnergiaSolar[[#This Row],[Producido]]-EnergiaSolar[[#This Row],[Consumido]]</f>
        <v>-4.6000000000000014</v>
      </c>
      <c r="F218" s="3">
        <f>EnergiaSolar[[#This Row],[Producido]]-EnergiaSolar[[#This Row],[Consumido]]</f>
        <v>-4.6000000000000014</v>
      </c>
      <c r="G218" s="5" cm="1">
        <f t="array" ref="G218">EnergiaSolar[[#This Row],[Variante ]]*CostPerKwh[Precio Promedio Kwh]</f>
        <v>-1.4260000000000004</v>
      </c>
    </row>
    <row r="219" spans="1:7" x14ac:dyDescent="0.25">
      <c r="A219" s="2">
        <v>44892</v>
      </c>
      <c r="B219">
        <v>11</v>
      </c>
      <c r="C219" s="3">
        <v>25.4</v>
      </c>
      <c r="D219" s="3">
        <v>25.3</v>
      </c>
      <c r="E219" s="5">
        <f>EnergiaSolar[[#This Row],[Producido]]-EnergiaSolar[[#This Row],[Consumido]]</f>
        <v>9.9999999999997868E-2</v>
      </c>
      <c r="F219" s="3">
        <f>EnergiaSolar[[#This Row],[Producido]]-EnergiaSolar[[#This Row],[Consumido]]</f>
        <v>9.9999999999997868E-2</v>
      </c>
      <c r="G219" s="5" cm="1">
        <f t="array" ref="G219">EnergiaSolar[[#This Row],[Variante ]]*CostPerKwh[Precio Promedio Kwh]</f>
        <v>3.0999999999999341E-2</v>
      </c>
    </row>
    <row r="220" spans="1:7" x14ac:dyDescent="0.25">
      <c r="A220" s="2">
        <v>44893</v>
      </c>
      <c r="B220">
        <v>11</v>
      </c>
      <c r="C220" s="3">
        <v>23.2</v>
      </c>
      <c r="D220" s="3">
        <v>21.3</v>
      </c>
      <c r="E220" s="5">
        <f>EnergiaSolar[[#This Row],[Producido]]-EnergiaSolar[[#This Row],[Consumido]]</f>
        <v>1.8999999999999986</v>
      </c>
      <c r="F220" s="3">
        <f>EnergiaSolar[[#This Row],[Producido]]-EnergiaSolar[[#This Row],[Consumido]]</f>
        <v>1.8999999999999986</v>
      </c>
      <c r="G220" s="5" cm="1">
        <f t="array" ref="G220">EnergiaSolar[[#This Row],[Variante ]]*CostPerKwh[Precio Promedio Kwh]</f>
        <v>0.58899999999999952</v>
      </c>
    </row>
    <row r="221" spans="1:7" x14ac:dyDescent="0.25">
      <c r="A221" s="2">
        <v>44894</v>
      </c>
      <c r="B221">
        <v>11</v>
      </c>
      <c r="C221" s="3">
        <v>18.399999999999999</v>
      </c>
      <c r="D221" s="3">
        <v>21.7</v>
      </c>
      <c r="E221" s="5">
        <f>EnergiaSolar[[#This Row],[Producido]]-EnergiaSolar[[#This Row],[Consumido]]</f>
        <v>-3.3000000000000007</v>
      </c>
      <c r="F221" s="3">
        <f>EnergiaSolar[[#This Row],[Producido]]-EnergiaSolar[[#This Row],[Consumido]]</f>
        <v>-3.3000000000000007</v>
      </c>
      <c r="G221" s="5" cm="1">
        <f t="array" ref="G221">EnergiaSolar[[#This Row],[Variante ]]*CostPerKwh[Precio Promedio Kwh]</f>
        <v>-1.0230000000000001</v>
      </c>
    </row>
    <row r="222" spans="1:7" x14ac:dyDescent="0.25">
      <c r="A222" s="2">
        <v>44895</v>
      </c>
      <c r="B222">
        <v>11</v>
      </c>
      <c r="C222" s="3">
        <v>25.2</v>
      </c>
      <c r="D222" s="3">
        <v>19.899999999999999</v>
      </c>
      <c r="E222" s="5">
        <f>EnergiaSolar[[#This Row],[Producido]]-EnergiaSolar[[#This Row],[Consumido]]</f>
        <v>5.3000000000000007</v>
      </c>
      <c r="F222" s="3">
        <f>EnergiaSolar[[#This Row],[Producido]]-EnergiaSolar[[#This Row],[Consumido]]</f>
        <v>5.3000000000000007</v>
      </c>
      <c r="G222" s="5" cm="1">
        <f t="array" ref="G222">EnergiaSolar[[#This Row],[Variante ]]*CostPerKwh[Precio Promedio Kwh]</f>
        <v>1.6430000000000002</v>
      </c>
    </row>
    <row r="223" spans="1:7" x14ac:dyDescent="0.25">
      <c r="A223" s="2">
        <v>44896</v>
      </c>
      <c r="B223">
        <v>11</v>
      </c>
      <c r="C223" s="3">
        <v>24.9</v>
      </c>
      <c r="D223" s="3">
        <v>25.8</v>
      </c>
      <c r="E223" s="5">
        <f>EnergiaSolar[[#This Row],[Producido]]-EnergiaSolar[[#This Row],[Consumido]]</f>
        <v>-0.90000000000000213</v>
      </c>
      <c r="F223" s="3">
        <f>EnergiaSolar[[#This Row],[Producido]]-EnergiaSolar[[#This Row],[Consumido]]</f>
        <v>-0.90000000000000213</v>
      </c>
      <c r="G223" s="5" cm="1">
        <f t="array" ref="G223">EnergiaSolar[[#This Row],[Variante ]]*CostPerKwh[Precio Promedio Kwh]</f>
        <v>-0.27900000000000064</v>
      </c>
    </row>
    <row r="224" spans="1:7" x14ac:dyDescent="0.25">
      <c r="A224" s="2">
        <v>44897</v>
      </c>
      <c r="B224">
        <v>11</v>
      </c>
      <c r="C224" s="3">
        <v>22</v>
      </c>
      <c r="D224" s="3">
        <v>33.9</v>
      </c>
      <c r="E224" s="5">
        <f>EnergiaSolar[[#This Row],[Producido]]-EnergiaSolar[[#This Row],[Consumido]]</f>
        <v>-11.899999999999999</v>
      </c>
      <c r="F224" s="3">
        <f>EnergiaSolar[[#This Row],[Producido]]-EnergiaSolar[[#This Row],[Consumido]]</f>
        <v>-11.899999999999999</v>
      </c>
      <c r="G224" s="5" cm="1">
        <f t="array" ref="G224">EnergiaSolar[[#This Row],[Variante ]]*CostPerKwh[Precio Promedio Kwh]</f>
        <v>-3.6889999999999996</v>
      </c>
    </row>
    <row r="225" spans="1:7" x14ac:dyDescent="0.25">
      <c r="A225" s="2">
        <v>44898</v>
      </c>
      <c r="B225">
        <v>11</v>
      </c>
      <c r="C225" s="3">
        <v>24.4</v>
      </c>
      <c r="D225" s="3">
        <v>26.2</v>
      </c>
      <c r="E225" s="5">
        <f>EnergiaSolar[[#This Row],[Producido]]-EnergiaSolar[[#This Row],[Consumido]]</f>
        <v>-1.8000000000000007</v>
      </c>
      <c r="F225" s="3">
        <f>EnergiaSolar[[#This Row],[Producido]]-EnergiaSolar[[#This Row],[Consumido]]</f>
        <v>-1.8000000000000007</v>
      </c>
      <c r="G225" s="5" cm="1">
        <f t="array" ref="G225">EnergiaSolar[[#This Row],[Variante ]]*CostPerKwh[Precio Promedio Kwh]</f>
        <v>-0.55800000000000016</v>
      </c>
    </row>
    <row r="226" spans="1:7" x14ac:dyDescent="0.25">
      <c r="A226" s="2">
        <v>44899</v>
      </c>
      <c r="B226">
        <v>11</v>
      </c>
      <c r="C226" s="3">
        <v>25.4</v>
      </c>
      <c r="D226" s="3">
        <v>24</v>
      </c>
      <c r="E226" s="5">
        <f>EnergiaSolar[[#This Row],[Producido]]-EnergiaSolar[[#This Row],[Consumido]]</f>
        <v>1.3999999999999986</v>
      </c>
      <c r="F226" s="3">
        <f>EnergiaSolar[[#This Row],[Producido]]-EnergiaSolar[[#This Row],[Consumido]]</f>
        <v>1.3999999999999986</v>
      </c>
      <c r="G226" s="5" cm="1">
        <f t="array" ref="G226">EnergiaSolar[[#This Row],[Variante ]]*CostPerKwh[Precio Promedio Kwh]</f>
        <v>0.43399999999999955</v>
      </c>
    </row>
    <row r="227" spans="1:7" x14ac:dyDescent="0.25">
      <c r="A227" s="2">
        <v>44900</v>
      </c>
      <c r="B227">
        <v>11</v>
      </c>
      <c r="C227" s="3">
        <v>15.8</v>
      </c>
      <c r="D227" s="3">
        <v>23.2</v>
      </c>
      <c r="E227" s="5">
        <f>EnergiaSolar[[#This Row],[Producido]]-EnergiaSolar[[#This Row],[Consumido]]</f>
        <v>-7.3999999999999986</v>
      </c>
      <c r="F227" s="3">
        <f>EnergiaSolar[[#This Row],[Producido]]-EnergiaSolar[[#This Row],[Consumido]]</f>
        <v>-7.3999999999999986</v>
      </c>
      <c r="G227" s="5" cm="1">
        <f t="array" ref="G227">EnergiaSolar[[#This Row],[Variante ]]*CostPerKwh[Precio Promedio Kwh]</f>
        <v>-2.2939999999999996</v>
      </c>
    </row>
    <row r="228" spans="1:7" x14ac:dyDescent="0.25">
      <c r="A228" s="2">
        <v>44901</v>
      </c>
      <c r="B228">
        <v>11</v>
      </c>
      <c r="C228" s="3">
        <v>24.3</v>
      </c>
      <c r="D228" s="3">
        <v>22.1</v>
      </c>
      <c r="E228" s="5">
        <f>EnergiaSolar[[#This Row],[Producido]]-EnergiaSolar[[#This Row],[Consumido]]</f>
        <v>2.1999999999999993</v>
      </c>
      <c r="F228" s="3">
        <f>EnergiaSolar[[#This Row],[Producido]]-EnergiaSolar[[#This Row],[Consumido]]</f>
        <v>2.1999999999999993</v>
      </c>
      <c r="G228" s="5" cm="1">
        <f t="array" ref="G228">EnergiaSolar[[#This Row],[Variante ]]*CostPerKwh[Precio Promedio Kwh]</f>
        <v>0.68199999999999983</v>
      </c>
    </row>
    <row r="229" spans="1:7" x14ac:dyDescent="0.25">
      <c r="A229" s="2">
        <v>44902</v>
      </c>
      <c r="B229">
        <v>11</v>
      </c>
      <c r="C229" s="3">
        <v>24.6</v>
      </c>
      <c r="D229" s="3">
        <v>23.3</v>
      </c>
      <c r="E229" s="5">
        <f>EnergiaSolar[[#This Row],[Producido]]-EnergiaSolar[[#This Row],[Consumido]]</f>
        <v>1.3000000000000007</v>
      </c>
      <c r="F229" s="3">
        <f>EnergiaSolar[[#This Row],[Producido]]-EnergiaSolar[[#This Row],[Consumido]]</f>
        <v>1.3000000000000007</v>
      </c>
      <c r="G229" s="5" cm="1">
        <f t="array" ref="G229">EnergiaSolar[[#This Row],[Variante ]]*CostPerKwh[Precio Promedio Kwh]</f>
        <v>0.40300000000000019</v>
      </c>
    </row>
    <row r="230" spans="1:7" x14ac:dyDescent="0.25">
      <c r="A230" s="2">
        <v>44903</v>
      </c>
      <c r="B230">
        <v>11</v>
      </c>
      <c r="C230" s="3">
        <v>24.3</v>
      </c>
      <c r="D230" s="3">
        <v>21.2</v>
      </c>
      <c r="E230" s="5">
        <f>EnergiaSolar[[#This Row],[Producido]]-EnergiaSolar[[#This Row],[Consumido]]</f>
        <v>3.1000000000000014</v>
      </c>
      <c r="F230" s="3">
        <f>EnergiaSolar[[#This Row],[Producido]]-EnergiaSolar[[#This Row],[Consumido]]</f>
        <v>3.1000000000000014</v>
      </c>
      <c r="G230" s="5" cm="1">
        <f t="array" ref="G230">EnergiaSolar[[#This Row],[Variante ]]*CostPerKwh[Precio Promedio Kwh]</f>
        <v>0.96100000000000041</v>
      </c>
    </row>
    <row r="231" spans="1:7" x14ac:dyDescent="0.25">
      <c r="A231" s="2">
        <v>44904</v>
      </c>
      <c r="B231">
        <v>11</v>
      </c>
      <c r="C231" s="3">
        <v>21.6</v>
      </c>
      <c r="D231" s="3">
        <v>20.100000000000001</v>
      </c>
      <c r="E231" s="5">
        <f>EnergiaSolar[[#This Row],[Producido]]-EnergiaSolar[[#This Row],[Consumido]]</f>
        <v>1.5</v>
      </c>
      <c r="F231" s="3">
        <f>EnergiaSolar[[#This Row],[Producido]]-EnergiaSolar[[#This Row],[Consumido]]</f>
        <v>1.5</v>
      </c>
      <c r="G231" s="5" cm="1">
        <f t="array" ref="G231">EnergiaSolar[[#This Row],[Variante ]]*CostPerKwh[Precio Promedio Kwh]</f>
        <v>0.46499999999999997</v>
      </c>
    </row>
    <row r="232" spans="1:7" x14ac:dyDescent="0.25">
      <c r="A232" s="2">
        <v>44905</v>
      </c>
      <c r="B232">
        <v>11</v>
      </c>
      <c r="C232" s="3">
        <v>19.8</v>
      </c>
      <c r="D232" s="3">
        <v>23.6</v>
      </c>
      <c r="E232" s="5">
        <f>EnergiaSolar[[#This Row],[Producido]]-EnergiaSolar[[#This Row],[Consumido]]</f>
        <v>-3.8000000000000007</v>
      </c>
      <c r="F232" s="3">
        <f>EnergiaSolar[[#This Row],[Producido]]-EnergiaSolar[[#This Row],[Consumido]]</f>
        <v>-3.8000000000000007</v>
      </c>
      <c r="G232" s="5" cm="1">
        <f t="array" ref="G232">EnergiaSolar[[#This Row],[Variante ]]*CostPerKwh[Precio Promedio Kwh]</f>
        <v>-1.1780000000000002</v>
      </c>
    </row>
    <row r="233" spans="1:7" x14ac:dyDescent="0.25">
      <c r="A233" s="2">
        <v>44906</v>
      </c>
      <c r="B233">
        <v>11</v>
      </c>
      <c r="C233" s="3">
        <v>21.9</v>
      </c>
      <c r="D233" s="3">
        <v>20.3</v>
      </c>
      <c r="E233" s="5">
        <f>EnergiaSolar[[#This Row],[Producido]]-EnergiaSolar[[#This Row],[Consumido]]</f>
        <v>1.5999999999999979</v>
      </c>
      <c r="F233" s="3">
        <f>EnergiaSolar[[#This Row],[Producido]]-EnergiaSolar[[#This Row],[Consumido]]</f>
        <v>1.5999999999999979</v>
      </c>
      <c r="G233" s="5" cm="1">
        <f t="array" ref="G233">EnergiaSolar[[#This Row],[Variante ]]*CostPerKwh[Precio Promedio Kwh]</f>
        <v>0.49599999999999933</v>
      </c>
    </row>
    <row r="234" spans="1:7" x14ac:dyDescent="0.25">
      <c r="A234" s="2">
        <v>44907</v>
      </c>
      <c r="B234">
        <v>11</v>
      </c>
      <c r="C234" s="3">
        <v>24.3</v>
      </c>
      <c r="D234" s="3">
        <v>17.399999999999999</v>
      </c>
      <c r="E234" s="5">
        <f>EnergiaSolar[[#This Row],[Producido]]-EnergiaSolar[[#This Row],[Consumido]]</f>
        <v>6.9000000000000021</v>
      </c>
      <c r="F234" s="3">
        <f>EnergiaSolar[[#This Row],[Producido]]-EnergiaSolar[[#This Row],[Consumido]]</f>
        <v>6.9000000000000021</v>
      </c>
      <c r="G234" s="5" cm="1">
        <f t="array" ref="G234">EnergiaSolar[[#This Row],[Variante ]]*CostPerKwh[Precio Promedio Kwh]</f>
        <v>2.1390000000000007</v>
      </c>
    </row>
    <row r="235" spans="1:7" x14ac:dyDescent="0.25">
      <c r="A235" s="2">
        <v>44908</v>
      </c>
      <c r="B235">
        <v>0</v>
      </c>
      <c r="C235" s="3">
        <v>23.9</v>
      </c>
      <c r="D235" s="3">
        <v>18</v>
      </c>
      <c r="E235" s="5">
        <f>EnergiaSolar[[#This Row],[Producido]]-EnergiaSolar[[#This Row],[Consumido]]</f>
        <v>5.8999999999999986</v>
      </c>
      <c r="F235" s="3">
        <f>EnergiaSolar[[#This Row],[Producido]]-EnergiaSolar[[#This Row],[Consumido]]</f>
        <v>5.8999999999999986</v>
      </c>
      <c r="G235" s="5" cm="1">
        <f t="array" ref="G235">EnergiaSolar[[#This Row],[Variante ]]*CostPerKwh[Precio Promedio Kwh]</f>
        <v>1.8289999999999995</v>
      </c>
    </row>
    <row r="236" spans="1:7" x14ac:dyDescent="0.25">
      <c r="A236" s="2">
        <v>44909</v>
      </c>
      <c r="B236">
        <v>0</v>
      </c>
      <c r="C236" s="3">
        <v>25.1</v>
      </c>
      <c r="D236" s="3">
        <v>18.600000000000001</v>
      </c>
      <c r="E236" s="5">
        <f>EnergiaSolar[[#This Row],[Producido]]-EnergiaSolar[[#This Row],[Consumido]]</f>
        <v>6.5</v>
      </c>
      <c r="F236" s="3">
        <f>EnergiaSolar[[#This Row],[Producido]]-EnergiaSolar[[#This Row],[Consumido]]</f>
        <v>6.5</v>
      </c>
      <c r="G236" s="5" cm="1">
        <f t="array" ref="G236">EnergiaSolar[[#This Row],[Variante ]]*CostPerKwh[Precio Promedio Kwh]</f>
        <v>2.0150000000000001</v>
      </c>
    </row>
    <row r="237" spans="1:7" x14ac:dyDescent="0.25">
      <c r="A237" s="2">
        <v>44910</v>
      </c>
      <c r="B237">
        <v>0</v>
      </c>
      <c r="C237" s="3">
        <v>23.1</v>
      </c>
      <c r="D237" s="3">
        <v>20.399999999999999</v>
      </c>
      <c r="E237" s="5">
        <f>EnergiaSolar[[#This Row],[Producido]]-EnergiaSolar[[#This Row],[Consumido]]</f>
        <v>2.7000000000000028</v>
      </c>
      <c r="F237" s="3">
        <f>EnergiaSolar[[#This Row],[Producido]]-EnergiaSolar[[#This Row],[Consumido]]</f>
        <v>2.7000000000000028</v>
      </c>
      <c r="G237" s="5" cm="1">
        <f t="array" ref="G237">EnergiaSolar[[#This Row],[Variante ]]*CostPerKwh[Precio Promedio Kwh]</f>
        <v>0.83700000000000085</v>
      </c>
    </row>
    <row r="238" spans="1:7" x14ac:dyDescent="0.25">
      <c r="A238" s="2">
        <v>44911</v>
      </c>
      <c r="B238">
        <v>0</v>
      </c>
      <c r="C238" s="3">
        <v>21.6</v>
      </c>
      <c r="D238" s="3">
        <v>22.7</v>
      </c>
      <c r="E238" s="5">
        <f>EnergiaSolar[[#This Row],[Producido]]-EnergiaSolar[[#This Row],[Consumido]]</f>
        <v>-1.0999999999999979</v>
      </c>
      <c r="F238" s="3">
        <f>EnergiaSolar[[#This Row],[Producido]]-EnergiaSolar[[#This Row],[Consumido]]</f>
        <v>-1.0999999999999979</v>
      </c>
      <c r="G238" s="5" cm="1">
        <f t="array" ref="G238">EnergiaSolar[[#This Row],[Variante ]]*CostPerKwh[Precio Promedio Kwh]</f>
        <v>-0.34099999999999936</v>
      </c>
    </row>
    <row r="239" spans="1:7" x14ac:dyDescent="0.25">
      <c r="A239" s="2">
        <v>44912</v>
      </c>
      <c r="B239">
        <v>0</v>
      </c>
      <c r="C239" s="3">
        <v>14.1</v>
      </c>
      <c r="D239" s="3">
        <v>17</v>
      </c>
      <c r="E239" s="5">
        <f>EnergiaSolar[[#This Row],[Producido]]-EnergiaSolar[[#This Row],[Consumido]]</f>
        <v>-2.9000000000000004</v>
      </c>
      <c r="F239" s="3">
        <f>EnergiaSolar[[#This Row],[Producido]]-EnergiaSolar[[#This Row],[Consumido]]</f>
        <v>-2.9000000000000004</v>
      </c>
      <c r="G239" s="5" cm="1">
        <f t="array" ref="G239">EnergiaSolar[[#This Row],[Variante ]]*CostPerKwh[Precio Promedio Kwh]</f>
        <v>-0.89900000000000013</v>
      </c>
    </row>
    <row r="240" spans="1:7" x14ac:dyDescent="0.25">
      <c r="A240" s="2">
        <v>44913</v>
      </c>
      <c r="B240">
        <v>0</v>
      </c>
      <c r="C240" s="3">
        <v>22.5</v>
      </c>
      <c r="D240" s="3">
        <v>17.5</v>
      </c>
      <c r="E240" s="5">
        <f>EnergiaSolar[[#This Row],[Producido]]-EnergiaSolar[[#This Row],[Consumido]]</f>
        <v>5</v>
      </c>
      <c r="F240" s="3">
        <f>EnergiaSolar[[#This Row],[Producido]]-EnergiaSolar[[#This Row],[Consumido]]</f>
        <v>5</v>
      </c>
      <c r="G240" s="5" cm="1">
        <f t="array" ref="G240">EnergiaSolar[[#This Row],[Variante ]]*CostPerKwh[Precio Promedio Kwh]</f>
        <v>1.55</v>
      </c>
    </row>
    <row r="241" spans="1:7" x14ac:dyDescent="0.25">
      <c r="A241" s="2">
        <v>44914</v>
      </c>
      <c r="B241">
        <v>0</v>
      </c>
      <c r="C241" s="3">
        <v>24.1</v>
      </c>
      <c r="D241" s="3">
        <v>26.5</v>
      </c>
      <c r="E241" s="5">
        <f>EnergiaSolar[[#This Row],[Producido]]-EnergiaSolar[[#This Row],[Consumido]]</f>
        <v>-2.3999999999999986</v>
      </c>
      <c r="F241" s="3">
        <f>EnergiaSolar[[#This Row],[Producido]]-EnergiaSolar[[#This Row],[Consumido]]</f>
        <v>-2.3999999999999986</v>
      </c>
      <c r="G241" s="5" cm="1">
        <f t="array" ref="G241">EnergiaSolar[[#This Row],[Variante ]]*CostPerKwh[Precio Promedio Kwh]</f>
        <v>-0.74399999999999955</v>
      </c>
    </row>
    <row r="242" spans="1:7" x14ac:dyDescent="0.25">
      <c r="A242" s="2">
        <v>44915</v>
      </c>
      <c r="B242">
        <v>0</v>
      </c>
      <c r="C242" s="3">
        <v>22.2</v>
      </c>
      <c r="D242" s="3">
        <v>24.5</v>
      </c>
      <c r="E242" s="5">
        <f>EnergiaSolar[[#This Row],[Producido]]-EnergiaSolar[[#This Row],[Consumido]]</f>
        <v>-2.3000000000000007</v>
      </c>
      <c r="F242" s="3">
        <f>EnergiaSolar[[#This Row],[Producido]]-EnergiaSolar[[#This Row],[Consumido]]</f>
        <v>-2.3000000000000007</v>
      </c>
      <c r="G242" s="5" cm="1">
        <f t="array" ref="G242">EnergiaSolar[[#This Row],[Variante ]]*CostPerKwh[Precio Promedio Kwh]</f>
        <v>-0.71300000000000019</v>
      </c>
    </row>
    <row r="243" spans="1:7" x14ac:dyDescent="0.25">
      <c r="A243" s="2">
        <v>44916</v>
      </c>
      <c r="B243">
        <v>0</v>
      </c>
      <c r="C243" s="3">
        <v>13.7</v>
      </c>
      <c r="D243" s="3">
        <v>18.899999999999999</v>
      </c>
      <c r="E243" s="5">
        <f>EnergiaSolar[[#This Row],[Producido]]-EnergiaSolar[[#This Row],[Consumido]]</f>
        <v>-5.1999999999999993</v>
      </c>
      <c r="F243" s="3">
        <f>EnergiaSolar[[#This Row],[Producido]]-EnergiaSolar[[#This Row],[Consumido]]</f>
        <v>-5.1999999999999993</v>
      </c>
      <c r="G243" s="5" cm="1">
        <f t="array" ref="G243">EnergiaSolar[[#This Row],[Variante ]]*CostPerKwh[Precio Promedio Kwh]</f>
        <v>-1.6119999999999999</v>
      </c>
    </row>
    <row r="244" spans="1:7" x14ac:dyDescent="0.25">
      <c r="A244" s="2">
        <v>44917</v>
      </c>
      <c r="B244">
        <v>0</v>
      </c>
      <c r="C244" s="3">
        <v>22.1</v>
      </c>
      <c r="D244" s="3">
        <v>25.1</v>
      </c>
      <c r="E244" s="5">
        <f>EnergiaSolar[[#This Row],[Producido]]-EnergiaSolar[[#This Row],[Consumido]]</f>
        <v>-3</v>
      </c>
      <c r="F244" s="3">
        <f>EnergiaSolar[[#This Row],[Producido]]-EnergiaSolar[[#This Row],[Consumido]]</f>
        <v>-3</v>
      </c>
      <c r="G244" s="5" cm="1">
        <f t="array" ref="G244">EnergiaSolar[[#This Row],[Variante ]]*CostPerKwh[Precio Promedio Kwh]</f>
        <v>-0.92999999999999994</v>
      </c>
    </row>
    <row r="245" spans="1:7" x14ac:dyDescent="0.25">
      <c r="A245" s="2">
        <v>44918</v>
      </c>
      <c r="B245">
        <v>0</v>
      </c>
      <c r="C245" s="3">
        <v>24.6</v>
      </c>
      <c r="D245" s="3">
        <v>22.8</v>
      </c>
      <c r="E245" s="5">
        <f>EnergiaSolar[[#This Row],[Producido]]-EnergiaSolar[[#This Row],[Consumido]]</f>
        <v>1.8000000000000007</v>
      </c>
      <c r="F245" s="3">
        <f>EnergiaSolar[[#This Row],[Producido]]-EnergiaSolar[[#This Row],[Consumido]]</f>
        <v>1.8000000000000007</v>
      </c>
      <c r="G245" s="5" cm="1">
        <f t="array" ref="G245">EnergiaSolar[[#This Row],[Variante ]]*CostPerKwh[Precio Promedio Kwh]</f>
        <v>0.55800000000000016</v>
      </c>
    </row>
    <row r="246" spans="1:7" x14ac:dyDescent="0.25">
      <c r="A246" s="2">
        <v>44919</v>
      </c>
      <c r="B246">
        <v>0</v>
      </c>
      <c r="C246" s="3">
        <v>19.5</v>
      </c>
      <c r="D246" s="3">
        <v>21</v>
      </c>
      <c r="E246" s="5">
        <f>EnergiaSolar[[#This Row],[Producido]]-EnergiaSolar[[#This Row],[Consumido]]</f>
        <v>-1.5</v>
      </c>
      <c r="F246" s="3">
        <f>EnergiaSolar[[#This Row],[Producido]]-EnergiaSolar[[#This Row],[Consumido]]</f>
        <v>-1.5</v>
      </c>
      <c r="G246" s="5" cm="1">
        <f t="array" ref="G246">EnergiaSolar[[#This Row],[Variante ]]*CostPerKwh[Precio Promedio Kwh]</f>
        <v>-0.46499999999999997</v>
      </c>
    </row>
    <row r="247" spans="1:7" x14ac:dyDescent="0.25">
      <c r="A247" s="2">
        <v>44920</v>
      </c>
      <c r="B247">
        <v>0</v>
      </c>
      <c r="C247" s="3">
        <v>25.2</v>
      </c>
      <c r="D247" s="3">
        <v>18.8</v>
      </c>
      <c r="E247" s="5">
        <f>EnergiaSolar[[#This Row],[Producido]]-EnergiaSolar[[#This Row],[Consumido]]</f>
        <v>6.3999999999999986</v>
      </c>
      <c r="F247" s="3">
        <f>EnergiaSolar[[#This Row],[Producido]]-EnergiaSolar[[#This Row],[Consumido]]</f>
        <v>6.3999999999999986</v>
      </c>
      <c r="G247" s="5" cm="1">
        <f t="array" ref="G247">EnergiaSolar[[#This Row],[Variante ]]*CostPerKwh[Precio Promedio Kwh]</f>
        <v>1.9839999999999995</v>
      </c>
    </row>
    <row r="248" spans="1:7" x14ac:dyDescent="0.25">
      <c r="A248" s="2">
        <v>44921</v>
      </c>
      <c r="B248">
        <v>0</v>
      </c>
      <c r="C248" s="3">
        <v>24.9</v>
      </c>
      <c r="D248" s="3">
        <v>27.1</v>
      </c>
      <c r="E248" s="5">
        <f>EnergiaSolar[[#This Row],[Producido]]-EnergiaSolar[[#This Row],[Consumido]]</f>
        <v>-2.2000000000000028</v>
      </c>
      <c r="F248" s="3">
        <f>EnergiaSolar[[#This Row],[Producido]]-EnergiaSolar[[#This Row],[Consumido]]</f>
        <v>-2.2000000000000028</v>
      </c>
      <c r="G248" s="5" cm="1">
        <f t="array" ref="G248">EnergiaSolar[[#This Row],[Variante ]]*CostPerKwh[Precio Promedio Kwh]</f>
        <v>-0.68200000000000083</v>
      </c>
    </row>
    <row r="249" spans="1:7" x14ac:dyDescent="0.25">
      <c r="A249" s="2">
        <v>44922</v>
      </c>
      <c r="B249">
        <v>0</v>
      </c>
      <c r="C249" s="3">
        <v>20.2</v>
      </c>
      <c r="D249" s="3">
        <v>15.4</v>
      </c>
      <c r="E249" s="5">
        <f>EnergiaSolar[[#This Row],[Producido]]-EnergiaSolar[[#This Row],[Consumido]]</f>
        <v>4.7999999999999989</v>
      </c>
      <c r="F249" s="3">
        <f>EnergiaSolar[[#This Row],[Producido]]-EnergiaSolar[[#This Row],[Consumido]]</f>
        <v>4.7999999999999989</v>
      </c>
      <c r="G249" s="5" cm="1">
        <f t="array" ref="G249">EnergiaSolar[[#This Row],[Variante ]]*CostPerKwh[Precio Promedio Kwh]</f>
        <v>1.4879999999999998</v>
      </c>
    </row>
    <row r="250" spans="1:7" x14ac:dyDescent="0.25">
      <c r="A250" s="2">
        <v>44923</v>
      </c>
      <c r="B250">
        <v>0</v>
      </c>
      <c r="C250" s="3">
        <v>14.1</v>
      </c>
      <c r="D250" s="3">
        <v>21.4</v>
      </c>
      <c r="E250" s="5">
        <f>EnergiaSolar[[#This Row],[Producido]]-EnergiaSolar[[#This Row],[Consumido]]</f>
        <v>-7.2999999999999989</v>
      </c>
      <c r="F250" s="3">
        <f>EnergiaSolar[[#This Row],[Producido]]-EnergiaSolar[[#This Row],[Consumido]]</f>
        <v>-7.2999999999999989</v>
      </c>
      <c r="G250" s="5" cm="1">
        <f t="array" ref="G250">EnergiaSolar[[#This Row],[Variante ]]*CostPerKwh[Precio Promedio Kwh]</f>
        <v>-2.2629999999999995</v>
      </c>
    </row>
    <row r="251" spans="1:7" x14ac:dyDescent="0.25">
      <c r="A251" s="2">
        <v>44924</v>
      </c>
      <c r="B251">
        <v>0</v>
      </c>
      <c r="C251" s="3">
        <v>22.1</v>
      </c>
      <c r="D251" s="3">
        <v>26</v>
      </c>
      <c r="E251" s="5">
        <f>EnergiaSolar[[#This Row],[Producido]]-EnergiaSolar[[#This Row],[Consumido]]</f>
        <v>-3.8999999999999986</v>
      </c>
      <c r="F251" s="3">
        <f>EnergiaSolar[[#This Row],[Producido]]-EnergiaSolar[[#This Row],[Consumido]]</f>
        <v>-3.8999999999999986</v>
      </c>
      <c r="G251" s="5" cm="1">
        <f t="array" ref="G251">EnergiaSolar[[#This Row],[Variante ]]*CostPerKwh[Precio Promedio Kwh]</f>
        <v>-1.2089999999999996</v>
      </c>
    </row>
    <row r="252" spans="1:7" x14ac:dyDescent="0.25">
      <c r="A252" s="2">
        <v>44925</v>
      </c>
      <c r="B252">
        <v>0</v>
      </c>
      <c r="C252" s="3">
        <v>21.3</v>
      </c>
      <c r="D252" s="3">
        <v>25.1</v>
      </c>
      <c r="E252" s="5">
        <f>EnergiaSolar[[#This Row],[Producido]]-EnergiaSolar[[#This Row],[Consumido]]</f>
        <v>-3.8000000000000007</v>
      </c>
      <c r="F252" s="3">
        <f>EnergiaSolar[[#This Row],[Producido]]-EnergiaSolar[[#This Row],[Consumido]]</f>
        <v>-3.8000000000000007</v>
      </c>
      <c r="G252" s="5" cm="1">
        <f t="array" ref="G252">EnergiaSolar[[#This Row],[Variante ]]*CostPerKwh[Precio Promedio Kwh]</f>
        <v>-1.1780000000000002</v>
      </c>
    </row>
    <row r="253" spans="1:7" x14ac:dyDescent="0.25">
      <c r="A253" s="2">
        <v>44926</v>
      </c>
      <c r="B253">
        <v>0</v>
      </c>
      <c r="C253" s="3">
        <v>22.1</v>
      </c>
      <c r="D253" s="3">
        <v>25.8</v>
      </c>
      <c r="E253" s="5">
        <f>EnergiaSolar[[#This Row],[Producido]]-EnergiaSolar[[#This Row],[Consumido]]</f>
        <v>-3.6999999999999993</v>
      </c>
      <c r="F253" s="3">
        <f>EnergiaSolar[[#This Row],[Producido]]-EnergiaSolar[[#This Row],[Consumido]]</f>
        <v>-3.6999999999999993</v>
      </c>
      <c r="G253" s="5" cm="1">
        <f t="array" ref="G253">EnergiaSolar[[#This Row],[Variante ]]*CostPerKwh[Precio Promedio Kwh]</f>
        <v>-1.1469999999999998</v>
      </c>
    </row>
    <row r="254" spans="1:7" x14ac:dyDescent="0.25">
      <c r="A254" s="2">
        <v>44927</v>
      </c>
      <c r="B254">
        <v>0</v>
      </c>
      <c r="C254" s="3">
        <v>17.2</v>
      </c>
      <c r="D254" s="3">
        <v>23</v>
      </c>
      <c r="E254" s="5">
        <f>EnergiaSolar[[#This Row],[Producido]]-EnergiaSolar[[#This Row],[Consumido]]</f>
        <v>-5.8000000000000007</v>
      </c>
      <c r="F254" s="3">
        <f>EnergiaSolar[[#This Row],[Producido]]-EnergiaSolar[[#This Row],[Consumido]]</f>
        <v>-5.8000000000000007</v>
      </c>
      <c r="G254" s="5" cm="1">
        <f t="array" ref="G254">EnergiaSolar[[#This Row],[Variante ]]*CostPerKwh[Precio Promedio Kwh]</f>
        <v>-1.7980000000000003</v>
      </c>
    </row>
    <row r="255" spans="1:7" x14ac:dyDescent="0.25">
      <c r="A255" s="2">
        <v>44928</v>
      </c>
      <c r="B255">
        <v>0</v>
      </c>
      <c r="C255" s="3">
        <v>24.9</v>
      </c>
      <c r="D255" s="3">
        <v>22.2</v>
      </c>
      <c r="E255" s="5">
        <f>EnergiaSolar[[#This Row],[Producido]]-EnergiaSolar[[#This Row],[Consumido]]</f>
        <v>2.6999999999999993</v>
      </c>
      <c r="F255" s="3">
        <f>EnergiaSolar[[#This Row],[Producido]]-EnergiaSolar[[#This Row],[Consumido]]</f>
        <v>2.6999999999999993</v>
      </c>
      <c r="G255" s="5" cm="1">
        <f t="array" ref="G255">EnergiaSolar[[#This Row],[Variante ]]*CostPerKwh[Precio Promedio Kwh]</f>
        <v>0.83699999999999974</v>
      </c>
    </row>
    <row r="256" spans="1:7" x14ac:dyDescent="0.25">
      <c r="A256" s="2">
        <v>44929</v>
      </c>
      <c r="B256">
        <v>0</v>
      </c>
      <c r="C256" s="3">
        <v>22.7</v>
      </c>
      <c r="D256" s="3">
        <v>20.5</v>
      </c>
      <c r="E256" s="5">
        <f>EnergiaSolar[[#This Row],[Producido]]-EnergiaSolar[[#This Row],[Consumido]]</f>
        <v>2.1999999999999993</v>
      </c>
      <c r="F256" s="3">
        <f>EnergiaSolar[[#This Row],[Producido]]-EnergiaSolar[[#This Row],[Consumido]]</f>
        <v>2.1999999999999993</v>
      </c>
      <c r="G256" s="5" cm="1">
        <f t="array" ref="G256">EnergiaSolar[[#This Row],[Variante ]]*CostPerKwh[Precio Promedio Kwh]</f>
        <v>0.68199999999999983</v>
      </c>
    </row>
    <row r="257" spans="1:7" x14ac:dyDescent="0.25">
      <c r="A257" s="2">
        <v>44930</v>
      </c>
      <c r="B257">
        <v>0</v>
      </c>
      <c r="C257" s="3">
        <v>17.8</v>
      </c>
      <c r="D257" s="3">
        <v>22.1</v>
      </c>
      <c r="E257" s="5">
        <f>EnergiaSolar[[#This Row],[Producido]]-EnergiaSolar[[#This Row],[Consumido]]</f>
        <v>-4.3000000000000007</v>
      </c>
      <c r="F257" s="3">
        <f>EnergiaSolar[[#This Row],[Producido]]-EnergiaSolar[[#This Row],[Consumido]]</f>
        <v>-4.3000000000000007</v>
      </c>
      <c r="G257" s="5" cm="1">
        <f t="array" ref="G257">EnergiaSolar[[#This Row],[Variante ]]*CostPerKwh[Precio Promedio Kwh]</f>
        <v>-1.3330000000000002</v>
      </c>
    </row>
    <row r="258" spans="1:7" x14ac:dyDescent="0.25">
      <c r="A258" s="2">
        <v>44931</v>
      </c>
      <c r="B258">
        <v>0</v>
      </c>
      <c r="C258" s="3">
        <v>20.9</v>
      </c>
      <c r="D258" s="3">
        <v>26</v>
      </c>
      <c r="E258" s="5">
        <f>EnergiaSolar[[#This Row],[Producido]]-EnergiaSolar[[#This Row],[Consumido]]</f>
        <v>-5.1000000000000014</v>
      </c>
      <c r="F258" s="3">
        <f>EnergiaSolar[[#This Row],[Producido]]-EnergiaSolar[[#This Row],[Consumido]]</f>
        <v>-5.1000000000000014</v>
      </c>
      <c r="G258" s="5" cm="1">
        <f t="array" ref="G258">EnergiaSolar[[#This Row],[Variante ]]*CostPerKwh[Precio Promedio Kwh]</f>
        <v>-1.5810000000000004</v>
      </c>
    </row>
    <row r="259" spans="1:7" x14ac:dyDescent="0.25">
      <c r="A259" s="2">
        <v>44932</v>
      </c>
      <c r="B259">
        <v>0</v>
      </c>
      <c r="C259" s="3">
        <v>16.5</v>
      </c>
      <c r="D259" s="3">
        <v>20.6</v>
      </c>
      <c r="E259" s="5">
        <f>EnergiaSolar[[#This Row],[Producido]]-EnergiaSolar[[#This Row],[Consumido]]</f>
        <v>-4.1000000000000014</v>
      </c>
      <c r="F259" s="3">
        <f>EnergiaSolar[[#This Row],[Producido]]-EnergiaSolar[[#This Row],[Consumido]]</f>
        <v>-4.1000000000000014</v>
      </c>
      <c r="G259" s="5" cm="1">
        <f t="array" ref="G259">EnergiaSolar[[#This Row],[Variante ]]*CostPerKwh[Precio Promedio Kwh]</f>
        <v>-1.2710000000000004</v>
      </c>
    </row>
    <row r="260" spans="1:7" x14ac:dyDescent="0.25">
      <c r="A260" s="2">
        <v>44933</v>
      </c>
      <c r="B260">
        <v>0</v>
      </c>
      <c r="C260" s="3">
        <v>21.9</v>
      </c>
      <c r="D260" s="3">
        <v>26.1</v>
      </c>
      <c r="E260" s="5">
        <f>EnergiaSolar[[#This Row],[Producido]]-EnergiaSolar[[#This Row],[Consumido]]</f>
        <v>-4.2000000000000028</v>
      </c>
      <c r="F260" s="3">
        <f>EnergiaSolar[[#This Row],[Producido]]-EnergiaSolar[[#This Row],[Consumido]]</f>
        <v>-4.2000000000000028</v>
      </c>
      <c r="G260" s="5" cm="1">
        <f t="array" ref="G260">EnergiaSolar[[#This Row],[Variante ]]*CostPerKwh[Precio Promedio Kwh]</f>
        <v>-1.3020000000000009</v>
      </c>
    </row>
    <row r="261" spans="1:7" x14ac:dyDescent="0.25">
      <c r="A261" s="2">
        <v>44934</v>
      </c>
      <c r="B261">
        <v>0</v>
      </c>
      <c r="C261" s="3">
        <v>22.3</v>
      </c>
      <c r="D261" s="3">
        <v>27.3</v>
      </c>
      <c r="E261" s="5">
        <f>EnergiaSolar[[#This Row],[Producido]]-EnergiaSolar[[#This Row],[Consumido]]</f>
        <v>-5</v>
      </c>
      <c r="F261" s="3">
        <f>EnergiaSolar[[#This Row],[Producido]]-EnergiaSolar[[#This Row],[Consumido]]</f>
        <v>-5</v>
      </c>
      <c r="G261" s="5" cm="1">
        <f t="array" ref="G261">EnergiaSolar[[#This Row],[Variante ]]*CostPerKwh[Precio Promedio Kwh]</f>
        <v>-1.55</v>
      </c>
    </row>
    <row r="262" spans="1:7" x14ac:dyDescent="0.25">
      <c r="A262" s="2">
        <v>44935</v>
      </c>
      <c r="B262">
        <v>0</v>
      </c>
      <c r="C262" s="3">
        <v>22.1</v>
      </c>
      <c r="D262" s="3">
        <v>24.2</v>
      </c>
      <c r="E262" s="5">
        <f>EnergiaSolar[[#This Row],[Producido]]-EnergiaSolar[[#This Row],[Consumido]]</f>
        <v>-2.0999999999999979</v>
      </c>
      <c r="F262" s="3">
        <f>EnergiaSolar[[#This Row],[Producido]]-EnergiaSolar[[#This Row],[Consumido]]</f>
        <v>-2.0999999999999979</v>
      </c>
      <c r="G262" s="5" cm="1">
        <f t="array" ref="G262">EnergiaSolar[[#This Row],[Variante ]]*CostPerKwh[Precio Promedio Kwh]</f>
        <v>-0.65099999999999936</v>
      </c>
    </row>
    <row r="263" spans="1:7" x14ac:dyDescent="0.25">
      <c r="A263" s="2">
        <v>44936</v>
      </c>
      <c r="B263">
        <v>0</v>
      </c>
      <c r="C263" s="3">
        <v>24.4</v>
      </c>
      <c r="D263" s="3">
        <v>21.2</v>
      </c>
      <c r="E263" s="5">
        <f>EnergiaSolar[[#This Row],[Producido]]-EnergiaSolar[[#This Row],[Consumido]]</f>
        <v>3.1999999999999993</v>
      </c>
      <c r="F263" s="3">
        <f>EnergiaSolar[[#This Row],[Producido]]-EnergiaSolar[[#This Row],[Consumido]]</f>
        <v>3.1999999999999993</v>
      </c>
      <c r="G263" s="5" cm="1">
        <f t="array" ref="G263">EnergiaSolar[[#This Row],[Variante ]]*CostPerKwh[Precio Promedio Kwh]</f>
        <v>0.99199999999999977</v>
      </c>
    </row>
    <row r="264" spans="1:7" x14ac:dyDescent="0.25">
      <c r="A264" s="2">
        <v>44937</v>
      </c>
      <c r="B264">
        <v>0</v>
      </c>
      <c r="C264" s="3">
        <v>23.5</v>
      </c>
      <c r="D264" s="3">
        <v>24.3</v>
      </c>
      <c r="E264" s="5">
        <f>EnergiaSolar[[#This Row],[Producido]]-EnergiaSolar[[#This Row],[Consumido]]</f>
        <v>-0.80000000000000071</v>
      </c>
      <c r="F264" s="3">
        <f>EnergiaSolar[[#This Row],[Producido]]-EnergiaSolar[[#This Row],[Consumido]]</f>
        <v>-0.80000000000000071</v>
      </c>
      <c r="G264" s="5" cm="1">
        <f t="array" ref="G264">EnergiaSolar[[#This Row],[Variante ]]*CostPerKwh[Precio Promedio Kwh]</f>
        <v>-0.24800000000000022</v>
      </c>
    </row>
    <row r="265" spans="1:7" x14ac:dyDescent="0.25">
      <c r="A265" s="2">
        <v>44938</v>
      </c>
      <c r="B265">
        <v>1</v>
      </c>
      <c r="C265" s="3">
        <v>15.7</v>
      </c>
      <c r="D265" s="3">
        <v>24.4</v>
      </c>
      <c r="E265" s="5">
        <f>EnergiaSolar[[#This Row],[Producido]]-EnergiaSolar[[#This Row],[Consumido]]</f>
        <v>-8.6999999999999993</v>
      </c>
      <c r="F265" s="3">
        <f>EnergiaSolar[[#This Row],[Producido]]-EnergiaSolar[[#This Row],[Consumido]]</f>
        <v>-8.6999999999999993</v>
      </c>
      <c r="G265" s="5" cm="1">
        <f t="array" ref="G265">EnergiaSolar[[#This Row],[Variante ]]*CostPerKwh[Precio Promedio Kwh]</f>
        <v>-2.6969999999999996</v>
      </c>
    </row>
    <row r="266" spans="1:7" x14ac:dyDescent="0.25">
      <c r="A266" s="2">
        <v>44939</v>
      </c>
      <c r="B266">
        <v>1</v>
      </c>
      <c r="C266" s="3">
        <v>23.8</v>
      </c>
      <c r="D266" s="3">
        <v>22.1</v>
      </c>
      <c r="E266" s="5">
        <f>EnergiaSolar[[#This Row],[Producido]]-EnergiaSolar[[#This Row],[Consumido]]</f>
        <v>1.6999999999999993</v>
      </c>
      <c r="F266" s="3">
        <f>EnergiaSolar[[#This Row],[Producido]]-EnergiaSolar[[#This Row],[Consumido]]</f>
        <v>1.6999999999999993</v>
      </c>
      <c r="G266" s="5" cm="1">
        <f t="array" ref="G266">EnergiaSolar[[#This Row],[Variante ]]*CostPerKwh[Precio Promedio Kwh]</f>
        <v>0.5269999999999998</v>
      </c>
    </row>
    <row r="267" spans="1:7" x14ac:dyDescent="0.25">
      <c r="A267" s="2">
        <v>44940</v>
      </c>
      <c r="B267">
        <v>1</v>
      </c>
      <c r="C267" s="3">
        <v>24.2</v>
      </c>
      <c r="D267" s="3">
        <v>29</v>
      </c>
      <c r="E267" s="5">
        <f>EnergiaSolar[[#This Row],[Producido]]-EnergiaSolar[[#This Row],[Consumido]]</f>
        <v>-4.8000000000000007</v>
      </c>
      <c r="F267" s="3">
        <f>EnergiaSolar[[#This Row],[Producido]]-EnergiaSolar[[#This Row],[Consumido]]</f>
        <v>-4.8000000000000007</v>
      </c>
      <c r="G267" s="5" cm="1">
        <f t="array" ref="G267">EnergiaSolar[[#This Row],[Variante ]]*CostPerKwh[Precio Promedio Kwh]</f>
        <v>-1.4880000000000002</v>
      </c>
    </row>
    <row r="268" spans="1:7" x14ac:dyDescent="0.25">
      <c r="A268" s="2">
        <v>44941</v>
      </c>
      <c r="B268">
        <v>1</v>
      </c>
      <c r="C268" s="3">
        <v>15.4</v>
      </c>
      <c r="D268" s="3">
        <v>23.9</v>
      </c>
      <c r="E268" s="5">
        <f>EnergiaSolar[[#This Row],[Producido]]-EnergiaSolar[[#This Row],[Consumido]]</f>
        <v>-8.4999999999999982</v>
      </c>
      <c r="F268" s="3">
        <f>EnergiaSolar[[#This Row],[Producido]]-EnergiaSolar[[#This Row],[Consumido]]</f>
        <v>-8.4999999999999982</v>
      </c>
      <c r="G268" s="5" cm="1">
        <f t="array" ref="G268">EnergiaSolar[[#This Row],[Variante ]]*CostPerKwh[Precio Promedio Kwh]</f>
        <v>-2.6349999999999993</v>
      </c>
    </row>
    <row r="269" spans="1:7" x14ac:dyDescent="0.25">
      <c r="A269" s="2">
        <v>44942</v>
      </c>
      <c r="B269">
        <v>1</v>
      </c>
      <c r="C269" s="3">
        <v>21.9</v>
      </c>
      <c r="D269" s="3">
        <v>23.6</v>
      </c>
      <c r="E269" s="5">
        <f>EnergiaSolar[[#This Row],[Producido]]-EnergiaSolar[[#This Row],[Consumido]]</f>
        <v>-1.7000000000000028</v>
      </c>
      <c r="F269" s="3">
        <f>EnergiaSolar[[#This Row],[Producido]]-EnergiaSolar[[#This Row],[Consumido]]</f>
        <v>-1.7000000000000028</v>
      </c>
      <c r="G269" s="5" cm="1">
        <f t="array" ref="G269">EnergiaSolar[[#This Row],[Variante ]]*CostPerKwh[Precio Promedio Kwh]</f>
        <v>-0.52700000000000091</v>
      </c>
    </row>
    <row r="270" spans="1:7" x14ac:dyDescent="0.25">
      <c r="A270" s="2">
        <v>44943</v>
      </c>
      <c r="B270">
        <v>1</v>
      </c>
      <c r="C270" s="3">
        <v>27</v>
      </c>
      <c r="D270" s="3">
        <v>20.6</v>
      </c>
      <c r="E270" s="5">
        <f>EnergiaSolar[[#This Row],[Producido]]-EnergiaSolar[[#This Row],[Consumido]]</f>
        <v>6.3999999999999986</v>
      </c>
      <c r="F270" s="3">
        <f>EnergiaSolar[[#This Row],[Producido]]-EnergiaSolar[[#This Row],[Consumido]]</f>
        <v>6.3999999999999986</v>
      </c>
      <c r="G270" s="5" cm="1">
        <f t="array" ref="G270">EnergiaSolar[[#This Row],[Variante ]]*CostPerKwh[Precio Promedio Kwh]</f>
        <v>1.9839999999999995</v>
      </c>
    </row>
    <row r="271" spans="1:7" x14ac:dyDescent="0.25">
      <c r="A271" s="2">
        <v>44944</v>
      </c>
      <c r="B271">
        <v>1</v>
      </c>
      <c r="C271" s="3">
        <v>27.9</v>
      </c>
      <c r="D271" s="3">
        <v>18.600000000000001</v>
      </c>
      <c r="E271" s="5">
        <f>EnergiaSolar[[#This Row],[Producido]]-EnergiaSolar[[#This Row],[Consumido]]</f>
        <v>9.2999999999999972</v>
      </c>
      <c r="F271" s="3">
        <f>EnergiaSolar[[#This Row],[Producido]]-EnergiaSolar[[#This Row],[Consumido]]</f>
        <v>9.2999999999999972</v>
      </c>
      <c r="G271" s="5" cm="1">
        <f t="array" ref="G271">EnergiaSolar[[#This Row],[Variante ]]*CostPerKwh[Precio Promedio Kwh]</f>
        <v>2.8829999999999991</v>
      </c>
    </row>
    <row r="272" spans="1:7" x14ac:dyDescent="0.25">
      <c r="A272" s="2">
        <v>44945</v>
      </c>
      <c r="B272">
        <v>1</v>
      </c>
      <c r="C272" s="3">
        <v>20.3</v>
      </c>
      <c r="D272" s="3">
        <v>19.2</v>
      </c>
      <c r="E272" s="5">
        <f>EnergiaSolar[[#This Row],[Producido]]-EnergiaSolar[[#This Row],[Consumido]]</f>
        <v>1.1000000000000014</v>
      </c>
      <c r="F272" s="3">
        <f>EnergiaSolar[[#This Row],[Producido]]-EnergiaSolar[[#This Row],[Consumido]]</f>
        <v>1.1000000000000014</v>
      </c>
      <c r="G272" s="5" cm="1">
        <f t="array" ref="G272">EnergiaSolar[[#This Row],[Variante ]]*CostPerKwh[Precio Promedio Kwh]</f>
        <v>0.34100000000000041</v>
      </c>
    </row>
    <row r="273" spans="1:7" x14ac:dyDescent="0.25">
      <c r="A273" s="2">
        <v>44946</v>
      </c>
      <c r="B273">
        <v>1</v>
      </c>
      <c r="C273" s="3">
        <v>26</v>
      </c>
      <c r="D273" s="3">
        <v>23.1</v>
      </c>
      <c r="E273" s="5">
        <f>EnergiaSolar[[#This Row],[Producido]]-EnergiaSolar[[#This Row],[Consumido]]</f>
        <v>2.8999999999999986</v>
      </c>
      <c r="F273" s="3">
        <f>EnergiaSolar[[#This Row],[Producido]]-EnergiaSolar[[#This Row],[Consumido]]</f>
        <v>2.8999999999999986</v>
      </c>
      <c r="G273" s="5" cm="1">
        <f t="array" ref="G273">EnergiaSolar[[#This Row],[Variante ]]*CostPerKwh[Precio Promedio Kwh]</f>
        <v>0.89899999999999958</v>
      </c>
    </row>
    <row r="274" spans="1:7" x14ac:dyDescent="0.25">
      <c r="A274" s="2">
        <v>44947</v>
      </c>
      <c r="B274">
        <v>1</v>
      </c>
      <c r="C274" s="3">
        <v>23</v>
      </c>
      <c r="D274" s="3">
        <v>25.2</v>
      </c>
      <c r="E274" s="5">
        <f>EnergiaSolar[[#This Row],[Producido]]-EnergiaSolar[[#This Row],[Consumido]]</f>
        <v>-2.1999999999999993</v>
      </c>
      <c r="F274" s="3">
        <f>EnergiaSolar[[#This Row],[Producido]]-EnergiaSolar[[#This Row],[Consumido]]</f>
        <v>-2.1999999999999993</v>
      </c>
      <c r="G274" s="5" cm="1">
        <f t="array" ref="G274">EnergiaSolar[[#This Row],[Variante ]]*CostPerKwh[Precio Promedio Kwh]</f>
        <v>-0.68199999999999983</v>
      </c>
    </row>
    <row r="275" spans="1:7" x14ac:dyDescent="0.25">
      <c r="A275" s="2">
        <v>44948</v>
      </c>
      <c r="B275">
        <v>1</v>
      </c>
      <c r="C275" s="3">
        <v>17.899999999999999</v>
      </c>
      <c r="D275" s="3">
        <v>22.5</v>
      </c>
      <c r="E275" s="5">
        <f>EnergiaSolar[[#This Row],[Producido]]-EnergiaSolar[[#This Row],[Consumido]]</f>
        <v>-4.6000000000000014</v>
      </c>
      <c r="F275" s="3">
        <f>EnergiaSolar[[#This Row],[Producido]]-EnergiaSolar[[#This Row],[Consumido]]</f>
        <v>-4.6000000000000014</v>
      </c>
      <c r="G275" s="5" cm="1">
        <f t="array" ref="G275">EnergiaSolar[[#This Row],[Variante ]]*CostPerKwh[Precio Promedio Kwh]</f>
        <v>-1.4260000000000004</v>
      </c>
    </row>
    <row r="276" spans="1:7" x14ac:dyDescent="0.25">
      <c r="A276" s="2">
        <v>44949</v>
      </c>
      <c r="B276">
        <v>1</v>
      </c>
      <c r="C276" s="3">
        <v>24.7</v>
      </c>
      <c r="D276" s="3">
        <v>21.5</v>
      </c>
      <c r="E276" s="5">
        <f>EnergiaSolar[[#This Row],[Producido]]-EnergiaSolar[[#This Row],[Consumido]]</f>
        <v>3.1999999999999993</v>
      </c>
      <c r="F276" s="3">
        <f>EnergiaSolar[[#This Row],[Producido]]-EnergiaSolar[[#This Row],[Consumido]]</f>
        <v>3.1999999999999993</v>
      </c>
      <c r="G276" s="5" cm="1">
        <f t="array" ref="G276">EnergiaSolar[[#This Row],[Variante ]]*CostPerKwh[Precio Promedio Kwh]</f>
        <v>0.99199999999999977</v>
      </c>
    </row>
    <row r="277" spans="1:7" x14ac:dyDescent="0.25">
      <c r="A277" s="2">
        <v>44950</v>
      </c>
      <c r="B277">
        <v>1</v>
      </c>
      <c r="C277" s="3">
        <v>19.5</v>
      </c>
      <c r="D277" s="3">
        <v>19</v>
      </c>
      <c r="E277" s="5">
        <f>EnergiaSolar[[#This Row],[Producido]]-EnergiaSolar[[#This Row],[Consumido]]</f>
        <v>0.5</v>
      </c>
      <c r="F277" s="3">
        <f>EnergiaSolar[[#This Row],[Producido]]-EnergiaSolar[[#This Row],[Consumido]]</f>
        <v>0.5</v>
      </c>
      <c r="G277" s="5" cm="1">
        <f t="array" ref="G277">EnergiaSolar[[#This Row],[Variante ]]*CostPerKwh[Precio Promedio Kwh]</f>
        <v>0.155</v>
      </c>
    </row>
    <row r="278" spans="1:7" x14ac:dyDescent="0.25">
      <c r="A278" s="2">
        <v>44951</v>
      </c>
      <c r="B278">
        <v>1</v>
      </c>
      <c r="C278" s="3">
        <v>19.100000000000001</v>
      </c>
      <c r="D278" s="3">
        <v>20.9</v>
      </c>
      <c r="E278" s="5">
        <f>EnergiaSolar[[#This Row],[Producido]]-EnergiaSolar[[#This Row],[Consumido]]</f>
        <v>-1.7999999999999972</v>
      </c>
      <c r="F278" s="3">
        <f>EnergiaSolar[[#This Row],[Producido]]-EnergiaSolar[[#This Row],[Consumido]]</f>
        <v>-1.7999999999999972</v>
      </c>
      <c r="G278" s="5" cm="1">
        <f t="array" ref="G278">EnergiaSolar[[#This Row],[Variante ]]*CostPerKwh[Precio Promedio Kwh]</f>
        <v>-0.55799999999999916</v>
      </c>
    </row>
    <row r="279" spans="1:7" x14ac:dyDescent="0.25">
      <c r="A279" s="2">
        <v>44952</v>
      </c>
      <c r="B279">
        <v>1</v>
      </c>
      <c r="C279" s="3">
        <v>28.1</v>
      </c>
      <c r="D279" s="3">
        <v>23.5</v>
      </c>
      <c r="E279" s="5">
        <f>EnergiaSolar[[#This Row],[Producido]]-EnergiaSolar[[#This Row],[Consumido]]</f>
        <v>4.6000000000000014</v>
      </c>
      <c r="F279" s="3">
        <f>EnergiaSolar[[#This Row],[Producido]]-EnergiaSolar[[#This Row],[Consumido]]</f>
        <v>4.6000000000000014</v>
      </c>
      <c r="G279" s="5" cm="1">
        <f t="array" ref="G279">EnergiaSolar[[#This Row],[Variante ]]*CostPerKwh[Precio Promedio Kwh]</f>
        <v>1.4260000000000004</v>
      </c>
    </row>
    <row r="280" spans="1:7" x14ac:dyDescent="0.25">
      <c r="A280" s="2">
        <v>44953</v>
      </c>
      <c r="B280">
        <v>1</v>
      </c>
      <c r="C280" s="3">
        <v>21.3</v>
      </c>
      <c r="D280" s="3">
        <v>21.4</v>
      </c>
      <c r="E280" s="5">
        <f>EnergiaSolar[[#This Row],[Producido]]-EnergiaSolar[[#This Row],[Consumido]]</f>
        <v>-9.9999999999997868E-2</v>
      </c>
      <c r="F280" s="3">
        <f>EnergiaSolar[[#This Row],[Producido]]-EnergiaSolar[[#This Row],[Consumido]]</f>
        <v>-9.9999999999997868E-2</v>
      </c>
      <c r="G280" s="5" cm="1">
        <f t="array" ref="G280">EnergiaSolar[[#This Row],[Variante ]]*CostPerKwh[Precio Promedio Kwh]</f>
        <v>-3.0999999999999341E-2</v>
      </c>
    </row>
    <row r="281" spans="1:7" x14ac:dyDescent="0.25">
      <c r="A281" s="2">
        <v>44954</v>
      </c>
      <c r="B281">
        <v>1</v>
      </c>
      <c r="C281" s="3">
        <v>21.5</v>
      </c>
      <c r="D281" s="3">
        <v>22.3</v>
      </c>
      <c r="E281" s="5">
        <f>EnergiaSolar[[#This Row],[Producido]]-EnergiaSolar[[#This Row],[Consumido]]</f>
        <v>-0.80000000000000071</v>
      </c>
      <c r="F281" s="3">
        <f>EnergiaSolar[[#This Row],[Producido]]-EnergiaSolar[[#This Row],[Consumido]]</f>
        <v>-0.80000000000000071</v>
      </c>
      <c r="G281" s="5" cm="1">
        <f t="array" ref="G281">EnergiaSolar[[#This Row],[Variante ]]*CostPerKwh[Precio Promedio Kwh]</f>
        <v>-0.24800000000000022</v>
      </c>
    </row>
    <row r="282" spans="1:7" x14ac:dyDescent="0.25">
      <c r="A282" s="2">
        <v>44955</v>
      </c>
      <c r="B282">
        <v>1</v>
      </c>
      <c r="C282" s="3">
        <v>23</v>
      </c>
      <c r="D282" s="3">
        <v>23.1</v>
      </c>
      <c r="E282" s="5">
        <f>EnergiaSolar[[#This Row],[Producido]]-EnergiaSolar[[#This Row],[Consumido]]</f>
        <v>-0.10000000000000142</v>
      </c>
      <c r="F282" s="3">
        <f>EnergiaSolar[[#This Row],[Producido]]-EnergiaSolar[[#This Row],[Consumido]]</f>
        <v>-0.10000000000000142</v>
      </c>
      <c r="G282" s="5" cm="1">
        <f t="array" ref="G282">EnergiaSolar[[#This Row],[Variante ]]*CostPerKwh[Precio Promedio Kwh]</f>
        <v>-3.100000000000044E-2</v>
      </c>
    </row>
    <row r="283" spans="1:7" x14ac:dyDescent="0.25">
      <c r="A283" s="2">
        <v>44956</v>
      </c>
      <c r="B283">
        <v>1</v>
      </c>
      <c r="C283" s="3">
        <v>24.9</v>
      </c>
      <c r="D283" s="3">
        <v>23.1</v>
      </c>
      <c r="E283" s="5">
        <f>EnergiaSolar[[#This Row],[Producido]]-EnergiaSolar[[#This Row],[Consumido]]</f>
        <v>1.7999999999999972</v>
      </c>
      <c r="F283" s="3">
        <f>EnergiaSolar[[#This Row],[Producido]]-EnergiaSolar[[#This Row],[Consumido]]</f>
        <v>1.7999999999999972</v>
      </c>
      <c r="G283" s="5" cm="1">
        <f t="array" ref="G283">EnergiaSolar[[#This Row],[Variante ]]*CostPerKwh[Precio Promedio Kwh]</f>
        <v>0.55799999999999916</v>
      </c>
    </row>
    <row r="284" spans="1:7" x14ac:dyDescent="0.25">
      <c r="A284" s="2">
        <v>44957</v>
      </c>
      <c r="B284">
        <v>1</v>
      </c>
      <c r="C284" s="3">
        <v>24.6</v>
      </c>
      <c r="D284" s="3">
        <v>21.4</v>
      </c>
      <c r="E284" s="5">
        <f>EnergiaSolar[[#This Row],[Producido]]-EnergiaSolar[[#This Row],[Consumido]]</f>
        <v>3.2000000000000028</v>
      </c>
      <c r="F284" s="3">
        <f>EnergiaSolar[[#This Row],[Producido]]-EnergiaSolar[[#This Row],[Consumido]]</f>
        <v>3.2000000000000028</v>
      </c>
      <c r="G284" s="5" cm="1">
        <f t="array" ref="G284">EnergiaSolar[[#This Row],[Variante ]]*CostPerKwh[Precio Promedio Kwh]</f>
        <v>0.99200000000000088</v>
      </c>
    </row>
    <row r="285" spans="1:7" x14ac:dyDescent="0.25">
      <c r="A285" s="2">
        <v>44958</v>
      </c>
      <c r="B285">
        <v>1</v>
      </c>
      <c r="C285" s="3">
        <v>20.8</v>
      </c>
      <c r="D285" s="3">
        <v>20.399999999999999</v>
      </c>
      <c r="E285" s="5">
        <f>EnergiaSolar[[#This Row],[Producido]]-EnergiaSolar[[#This Row],[Consumido]]</f>
        <v>0.40000000000000213</v>
      </c>
      <c r="F285" s="3">
        <f>EnergiaSolar[[#This Row],[Producido]]-EnergiaSolar[[#This Row],[Consumido]]</f>
        <v>0.40000000000000213</v>
      </c>
      <c r="G285" s="5" cm="1">
        <f t="array" ref="G285">EnergiaSolar[[#This Row],[Variante ]]*CostPerKwh[Precio Promedio Kwh]</f>
        <v>0.12400000000000067</v>
      </c>
    </row>
    <row r="286" spans="1:7" x14ac:dyDescent="0.25">
      <c r="A286" s="2">
        <v>44959</v>
      </c>
      <c r="B286">
        <v>1</v>
      </c>
      <c r="C286" s="3">
        <v>5.8</v>
      </c>
      <c r="D286" s="3">
        <v>20.5</v>
      </c>
      <c r="E286" s="5">
        <f>EnergiaSolar[[#This Row],[Producido]]-EnergiaSolar[[#This Row],[Consumido]]</f>
        <v>-14.7</v>
      </c>
      <c r="F286" s="3">
        <f>EnergiaSolar[[#This Row],[Producido]]-EnergiaSolar[[#This Row],[Consumido]]</f>
        <v>-14.7</v>
      </c>
      <c r="G286" s="5" cm="1">
        <f t="array" ref="G286">EnergiaSolar[[#This Row],[Variante ]]*CostPerKwh[Precio Promedio Kwh]</f>
        <v>-4.5569999999999995</v>
      </c>
    </row>
    <row r="287" spans="1:7" x14ac:dyDescent="0.25">
      <c r="A287" s="2">
        <v>44960</v>
      </c>
      <c r="B287">
        <v>1</v>
      </c>
      <c r="C287" s="3">
        <v>22.5</v>
      </c>
      <c r="D287" s="3">
        <v>26</v>
      </c>
      <c r="E287" s="5">
        <f>EnergiaSolar[[#This Row],[Producido]]-EnergiaSolar[[#This Row],[Consumido]]</f>
        <v>-3.5</v>
      </c>
      <c r="F287" s="3">
        <f>EnergiaSolar[[#This Row],[Producido]]-EnergiaSolar[[#This Row],[Consumido]]</f>
        <v>-3.5</v>
      </c>
      <c r="G287" s="5" cm="1">
        <f t="array" ref="G287">EnergiaSolar[[#This Row],[Variante ]]*CostPerKwh[Precio Promedio Kwh]</f>
        <v>-1.085</v>
      </c>
    </row>
    <row r="288" spans="1:7" x14ac:dyDescent="0.25">
      <c r="A288" s="2">
        <v>44961</v>
      </c>
      <c r="B288">
        <v>1</v>
      </c>
      <c r="C288" s="3">
        <v>15.6</v>
      </c>
      <c r="D288" s="3">
        <v>25.6</v>
      </c>
      <c r="E288" s="5">
        <f>EnergiaSolar[[#This Row],[Producido]]-EnergiaSolar[[#This Row],[Consumido]]</f>
        <v>-10.000000000000002</v>
      </c>
      <c r="F288" s="3">
        <f>EnergiaSolar[[#This Row],[Producido]]-EnergiaSolar[[#This Row],[Consumido]]</f>
        <v>-10.000000000000002</v>
      </c>
      <c r="G288" s="5" cm="1">
        <f t="array" ref="G288">EnergiaSolar[[#This Row],[Variante ]]*CostPerKwh[Precio Promedio Kwh]</f>
        <v>-3.1000000000000005</v>
      </c>
    </row>
    <row r="289" spans="1:7" x14ac:dyDescent="0.25">
      <c r="A289" s="2">
        <v>44962</v>
      </c>
      <c r="B289">
        <v>1</v>
      </c>
      <c r="C289" s="3">
        <v>25.3</v>
      </c>
      <c r="D289" s="3">
        <v>25.7</v>
      </c>
      <c r="E289" s="5">
        <f>EnergiaSolar[[#This Row],[Producido]]-EnergiaSolar[[#This Row],[Consumido]]</f>
        <v>-0.39999999999999858</v>
      </c>
      <c r="F289" s="3">
        <f>EnergiaSolar[[#This Row],[Producido]]-EnergiaSolar[[#This Row],[Consumido]]</f>
        <v>-0.39999999999999858</v>
      </c>
      <c r="G289" s="5" cm="1">
        <f t="array" ref="G289">EnergiaSolar[[#This Row],[Variante ]]*CostPerKwh[Precio Promedio Kwh]</f>
        <v>-0.12399999999999956</v>
      </c>
    </row>
    <row r="290" spans="1:7" x14ac:dyDescent="0.25">
      <c r="A290" s="2">
        <v>44963</v>
      </c>
      <c r="B290">
        <v>1</v>
      </c>
      <c r="C290" s="3">
        <v>22.2</v>
      </c>
      <c r="D290" s="3">
        <v>23.3</v>
      </c>
      <c r="E290" s="5">
        <f>EnergiaSolar[[#This Row],[Producido]]-EnergiaSolar[[#This Row],[Consumido]]</f>
        <v>-1.1000000000000014</v>
      </c>
      <c r="F290" s="3">
        <f>EnergiaSolar[[#This Row],[Producido]]-EnergiaSolar[[#This Row],[Consumido]]</f>
        <v>-1.1000000000000014</v>
      </c>
      <c r="G290" s="5" cm="1">
        <f t="array" ref="G290">EnergiaSolar[[#This Row],[Variante ]]*CostPerKwh[Precio Promedio Kwh]</f>
        <v>-0.34100000000000041</v>
      </c>
    </row>
    <row r="291" spans="1:7" x14ac:dyDescent="0.25">
      <c r="A291" s="2">
        <v>44964</v>
      </c>
      <c r="B291">
        <v>1</v>
      </c>
      <c r="C291" s="3">
        <v>26.3</v>
      </c>
      <c r="D291" s="3">
        <v>23.5</v>
      </c>
      <c r="E291" s="5">
        <f>EnergiaSolar[[#This Row],[Producido]]-EnergiaSolar[[#This Row],[Consumido]]</f>
        <v>2.8000000000000007</v>
      </c>
      <c r="F291" s="3">
        <f>EnergiaSolar[[#This Row],[Producido]]-EnergiaSolar[[#This Row],[Consumido]]</f>
        <v>2.8000000000000007</v>
      </c>
      <c r="G291" s="5" cm="1">
        <f t="array" ref="G291">EnergiaSolar[[#This Row],[Variante ]]*CostPerKwh[Precio Promedio Kwh]</f>
        <v>0.86800000000000022</v>
      </c>
    </row>
    <row r="292" spans="1:7" x14ac:dyDescent="0.25">
      <c r="A292" s="2">
        <v>44965</v>
      </c>
      <c r="B292">
        <v>1</v>
      </c>
      <c r="C292" s="3">
        <v>26.1</v>
      </c>
      <c r="D292" s="3">
        <v>22.4</v>
      </c>
      <c r="E292" s="5">
        <f>EnergiaSolar[[#This Row],[Producido]]-EnergiaSolar[[#This Row],[Consumido]]</f>
        <v>3.7000000000000028</v>
      </c>
      <c r="F292" s="3">
        <f>EnergiaSolar[[#This Row],[Producido]]-EnergiaSolar[[#This Row],[Consumido]]</f>
        <v>3.7000000000000028</v>
      </c>
      <c r="G292" s="5" cm="1">
        <f t="array" ref="G292">EnergiaSolar[[#This Row],[Variante ]]*CostPerKwh[Precio Promedio Kwh]</f>
        <v>1.1470000000000009</v>
      </c>
    </row>
    <row r="293" spans="1:7" x14ac:dyDescent="0.25">
      <c r="A293" s="2">
        <v>44966</v>
      </c>
      <c r="B293">
        <v>1</v>
      </c>
      <c r="C293" s="3">
        <v>28.5</v>
      </c>
      <c r="D293" s="3">
        <v>22.4</v>
      </c>
      <c r="E293" s="5">
        <f>EnergiaSolar[[#This Row],[Producido]]-EnergiaSolar[[#This Row],[Consumido]]</f>
        <v>6.1000000000000014</v>
      </c>
      <c r="F293" s="3">
        <f>EnergiaSolar[[#This Row],[Producido]]-EnergiaSolar[[#This Row],[Consumido]]</f>
        <v>6.1000000000000014</v>
      </c>
      <c r="G293" s="5" cm="1">
        <f t="array" ref="G293">EnergiaSolar[[#This Row],[Variante ]]*CostPerKwh[Precio Promedio Kwh]</f>
        <v>1.8910000000000005</v>
      </c>
    </row>
    <row r="294" spans="1:7" x14ac:dyDescent="0.25">
      <c r="A294" s="2">
        <v>44967</v>
      </c>
      <c r="B294">
        <v>1</v>
      </c>
      <c r="C294" s="3">
        <v>29.9</v>
      </c>
      <c r="D294" s="3">
        <v>26</v>
      </c>
      <c r="E294" s="5">
        <f>EnergiaSolar[[#This Row],[Producido]]-EnergiaSolar[[#This Row],[Consumido]]</f>
        <v>3.8999999999999986</v>
      </c>
      <c r="F294" s="3">
        <f>EnergiaSolar[[#This Row],[Producido]]-EnergiaSolar[[#This Row],[Consumido]]</f>
        <v>3.8999999999999986</v>
      </c>
      <c r="G294" s="5" cm="1">
        <f t="array" ref="G294">EnergiaSolar[[#This Row],[Variante ]]*CostPerKwh[Precio Promedio Kwh]</f>
        <v>1.2089999999999996</v>
      </c>
    </row>
    <row r="295" spans="1:7" x14ac:dyDescent="0.25">
      <c r="A295" s="2">
        <v>44968</v>
      </c>
      <c r="B295">
        <v>1</v>
      </c>
      <c r="C295" s="3">
        <v>21.6</v>
      </c>
      <c r="D295" s="3">
        <v>25.2</v>
      </c>
      <c r="E295" s="5">
        <f>EnergiaSolar[[#This Row],[Producido]]-EnergiaSolar[[#This Row],[Consumido]]</f>
        <v>-3.5999999999999979</v>
      </c>
      <c r="F295" s="3">
        <f>EnergiaSolar[[#This Row],[Producido]]-EnergiaSolar[[#This Row],[Consumido]]</f>
        <v>-3.5999999999999979</v>
      </c>
      <c r="G295" s="5" cm="1">
        <f t="array" ref="G295">EnergiaSolar[[#This Row],[Variante ]]*CostPerKwh[Precio Promedio Kwh]</f>
        <v>-1.1159999999999994</v>
      </c>
    </row>
    <row r="296" spans="1:7" x14ac:dyDescent="0.25">
      <c r="A296" s="2">
        <v>44969</v>
      </c>
      <c r="B296">
        <v>1</v>
      </c>
      <c r="C296" s="3">
        <v>22.4</v>
      </c>
      <c r="D296" s="3">
        <v>23.7</v>
      </c>
      <c r="E296" s="5">
        <f>EnergiaSolar[[#This Row],[Producido]]-EnergiaSolar[[#This Row],[Consumido]]</f>
        <v>-1.3000000000000007</v>
      </c>
      <c r="F296" s="3">
        <f>EnergiaSolar[[#This Row],[Producido]]-EnergiaSolar[[#This Row],[Consumido]]</f>
        <v>-1.3000000000000007</v>
      </c>
      <c r="G296" s="5" cm="1">
        <f t="array" ref="G296">EnergiaSolar[[#This Row],[Variante ]]*CostPerKwh[Precio Promedio Kwh]</f>
        <v>-0.40300000000000019</v>
      </c>
    </row>
    <row r="297" spans="1:7" x14ac:dyDescent="0.25">
      <c r="A297" s="2">
        <v>44970</v>
      </c>
      <c r="B297">
        <v>2</v>
      </c>
      <c r="C297" s="3">
        <v>22.4</v>
      </c>
      <c r="D297" s="3">
        <v>20.2</v>
      </c>
      <c r="E297" s="5">
        <f>EnergiaSolar[[#This Row],[Producido]]-EnergiaSolar[[#This Row],[Consumido]]</f>
        <v>2.1999999999999993</v>
      </c>
      <c r="F297" s="3">
        <f>EnergiaSolar[[#This Row],[Producido]]-EnergiaSolar[[#This Row],[Consumido]]</f>
        <v>2.1999999999999993</v>
      </c>
      <c r="G297" s="5" cm="1">
        <f t="array" ref="G297">EnergiaSolar[[#This Row],[Variante ]]*CostPerKwh[Precio Promedio Kwh]</f>
        <v>0.68199999999999983</v>
      </c>
    </row>
    <row r="298" spans="1:7" x14ac:dyDescent="0.25">
      <c r="A298" s="2">
        <v>44971</v>
      </c>
      <c r="B298">
        <v>2</v>
      </c>
      <c r="C298" s="3">
        <v>16.5</v>
      </c>
      <c r="D298" s="3">
        <v>20.5</v>
      </c>
      <c r="E298" s="5">
        <f>EnergiaSolar[[#This Row],[Producido]]-EnergiaSolar[[#This Row],[Consumido]]</f>
        <v>-4</v>
      </c>
      <c r="F298" s="3">
        <f>EnergiaSolar[[#This Row],[Producido]]-EnergiaSolar[[#This Row],[Consumido]]</f>
        <v>-4</v>
      </c>
      <c r="G298" s="5" cm="1">
        <f t="array" ref="G298">EnergiaSolar[[#This Row],[Variante ]]*CostPerKwh[Precio Promedio Kwh]</f>
        <v>-1.24</v>
      </c>
    </row>
    <row r="299" spans="1:7" x14ac:dyDescent="0.25">
      <c r="A299" s="2">
        <v>44972</v>
      </c>
      <c r="B299">
        <v>2</v>
      </c>
      <c r="C299" s="3">
        <v>30.2</v>
      </c>
      <c r="D299" s="3">
        <v>20.399999999999999</v>
      </c>
      <c r="E299" s="5">
        <f>EnergiaSolar[[#This Row],[Producido]]-EnergiaSolar[[#This Row],[Consumido]]</f>
        <v>9.8000000000000007</v>
      </c>
      <c r="F299" s="3">
        <f>EnergiaSolar[[#This Row],[Producido]]-EnergiaSolar[[#This Row],[Consumido]]</f>
        <v>9.8000000000000007</v>
      </c>
      <c r="G299" s="5" cm="1">
        <f t="array" ref="G299">EnergiaSolar[[#This Row],[Variante ]]*CostPerKwh[Precio Promedio Kwh]</f>
        <v>3.0380000000000003</v>
      </c>
    </row>
    <row r="300" spans="1:7" x14ac:dyDescent="0.25">
      <c r="A300" s="2">
        <v>44973</v>
      </c>
      <c r="B300">
        <v>2</v>
      </c>
      <c r="C300" s="3">
        <v>24.5</v>
      </c>
      <c r="D300" s="3">
        <v>23.3</v>
      </c>
      <c r="E300" s="5">
        <f>EnergiaSolar[[#This Row],[Producido]]-EnergiaSolar[[#This Row],[Consumido]]</f>
        <v>1.1999999999999993</v>
      </c>
      <c r="F300" s="3">
        <f>EnergiaSolar[[#This Row],[Producido]]-EnergiaSolar[[#This Row],[Consumido]]</f>
        <v>1.1999999999999993</v>
      </c>
      <c r="G300" s="5" cm="1">
        <f t="array" ref="G300">EnergiaSolar[[#This Row],[Variante ]]*CostPerKwh[Precio Promedio Kwh]</f>
        <v>0.37199999999999978</v>
      </c>
    </row>
    <row r="301" spans="1:7" x14ac:dyDescent="0.25">
      <c r="A301" s="2">
        <v>44974</v>
      </c>
      <c r="B301">
        <v>2</v>
      </c>
      <c r="C301" s="3">
        <v>29.8</v>
      </c>
      <c r="D301" s="3">
        <v>24.7</v>
      </c>
      <c r="E301" s="5">
        <f>EnergiaSolar[[#This Row],[Producido]]-EnergiaSolar[[#This Row],[Consumido]]</f>
        <v>5.1000000000000014</v>
      </c>
      <c r="F301" s="3">
        <f>EnergiaSolar[[#This Row],[Producido]]-EnergiaSolar[[#This Row],[Consumido]]</f>
        <v>5.1000000000000014</v>
      </c>
      <c r="G301" s="5" cm="1">
        <f t="array" ref="G301">EnergiaSolar[[#This Row],[Variante ]]*CostPerKwh[Precio Promedio Kwh]</f>
        <v>1.5810000000000004</v>
      </c>
    </row>
    <row r="302" spans="1:7" x14ac:dyDescent="0.25">
      <c r="A302" s="2">
        <v>44975</v>
      </c>
      <c r="B302">
        <v>2</v>
      </c>
      <c r="C302" s="3">
        <v>29.1</v>
      </c>
      <c r="D302" s="3">
        <v>22.4</v>
      </c>
      <c r="E302" s="5">
        <f>EnergiaSolar[[#This Row],[Producido]]-EnergiaSolar[[#This Row],[Consumido]]</f>
        <v>6.7000000000000028</v>
      </c>
      <c r="F302" s="3">
        <f>EnergiaSolar[[#This Row],[Producido]]-EnergiaSolar[[#This Row],[Consumido]]</f>
        <v>6.7000000000000028</v>
      </c>
      <c r="G302" s="5" cm="1">
        <f t="array" ref="G302">EnergiaSolar[[#This Row],[Variante ]]*CostPerKwh[Precio Promedio Kwh]</f>
        <v>2.0770000000000008</v>
      </c>
    </row>
    <row r="303" spans="1:7" x14ac:dyDescent="0.25">
      <c r="A303" s="2">
        <v>44976</v>
      </c>
      <c r="B303">
        <v>2</v>
      </c>
      <c r="C303" s="3">
        <v>26.8</v>
      </c>
      <c r="D303" s="3">
        <v>19.5</v>
      </c>
      <c r="E303" s="5">
        <f>EnergiaSolar[[#This Row],[Producido]]-EnergiaSolar[[#This Row],[Consumido]]</f>
        <v>7.3000000000000007</v>
      </c>
      <c r="F303" s="3">
        <f>EnergiaSolar[[#This Row],[Producido]]-EnergiaSolar[[#This Row],[Consumido]]</f>
        <v>7.3000000000000007</v>
      </c>
      <c r="G303" s="5" cm="1">
        <f t="array" ref="G303">EnergiaSolar[[#This Row],[Variante ]]*CostPerKwh[Precio Promedio Kwh]</f>
        <v>2.2630000000000003</v>
      </c>
    </row>
    <row r="304" spans="1:7" x14ac:dyDescent="0.25">
      <c r="A304" s="2">
        <v>44977</v>
      </c>
      <c r="B304">
        <v>2</v>
      </c>
      <c r="C304" s="3">
        <v>23.1</v>
      </c>
      <c r="D304" s="3">
        <v>24.7</v>
      </c>
      <c r="E304" s="5">
        <f>EnergiaSolar[[#This Row],[Producido]]-EnergiaSolar[[#This Row],[Consumido]]</f>
        <v>-1.5999999999999979</v>
      </c>
      <c r="F304" s="3">
        <f>EnergiaSolar[[#This Row],[Producido]]-EnergiaSolar[[#This Row],[Consumido]]</f>
        <v>-1.5999999999999979</v>
      </c>
      <c r="G304" s="5" cm="1">
        <f t="array" ref="G304">EnergiaSolar[[#This Row],[Variante ]]*CostPerKwh[Precio Promedio Kwh]</f>
        <v>-0.49599999999999933</v>
      </c>
    </row>
    <row r="305" spans="1:7" x14ac:dyDescent="0.25">
      <c r="A305" s="2">
        <v>44978</v>
      </c>
      <c r="B305">
        <v>2</v>
      </c>
      <c r="C305" s="3">
        <v>23.5</v>
      </c>
      <c r="D305" s="3">
        <v>19.3</v>
      </c>
      <c r="E305" s="5">
        <f>EnergiaSolar[[#This Row],[Producido]]-EnergiaSolar[[#This Row],[Consumido]]</f>
        <v>4.1999999999999993</v>
      </c>
      <c r="F305" s="3">
        <f>EnergiaSolar[[#This Row],[Producido]]-EnergiaSolar[[#This Row],[Consumido]]</f>
        <v>4.1999999999999993</v>
      </c>
      <c r="G305" s="5" cm="1">
        <f t="array" ref="G305">EnergiaSolar[[#This Row],[Variante ]]*CostPerKwh[Precio Promedio Kwh]</f>
        <v>1.3019999999999998</v>
      </c>
    </row>
    <row r="306" spans="1:7" x14ac:dyDescent="0.25">
      <c r="A306" s="2">
        <v>44979</v>
      </c>
      <c r="B306">
        <v>2</v>
      </c>
      <c r="C306" s="3">
        <v>25.1</v>
      </c>
      <c r="D306" s="3">
        <v>21.8</v>
      </c>
      <c r="E306" s="5">
        <f>EnergiaSolar[[#This Row],[Producido]]-EnergiaSolar[[#This Row],[Consumido]]</f>
        <v>3.3000000000000007</v>
      </c>
      <c r="F306" s="3">
        <f>EnergiaSolar[[#This Row],[Producido]]-EnergiaSolar[[#This Row],[Consumido]]</f>
        <v>3.3000000000000007</v>
      </c>
      <c r="G306" s="5" cm="1">
        <f t="array" ref="G306">EnergiaSolar[[#This Row],[Variante ]]*CostPerKwh[Precio Promedio Kwh]</f>
        <v>1.0230000000000001</v>
      </c>
    </row>
    <row r="307" spans="1:7" x14ac:dyDescent="0.25">
      <c r="A307" s="2">
        <v>44980</v>
      </c>
      <c r="B307">
        <v>2</v>
      </c>
      <c r="C307" s="3">
        <v>16.3</v>
      </c>
      <c r="D307" s="3">
        <v>20.2</v>
      </c>
      <c r="E307" s="5">
        <f>EnergiaSolar[[#This Row],[Producido]]-EnergiaSolar[[#This Row],[Consumido]]</f>
        <v>-3.8999999999999986</v>
      </c>
      <c r="F307" s="3">
        <f>EnergiaSolar[[#This Row],[Producido]]-EnergiaSolar[[#This Row],[Consumido]]</f>
        <v>-3.8999999999999986</v>
      </c>
      <c r="G307" s="5" cm="1">
        <f t="array" ref="G307">EnergiaSolar[[#This Row],[Variante ]]*CostPerKwh[Precio Promedio Kwh]</f>
        <v>-1.2089999999999996</v>
      </c>
    </row>
    <row r="308" spans="1:7" x14ac:dyDescent="0.25">
      <c r="A308" s="2">
        <v>44981</v>
      </c>
      <c r="B308">
        <v>2</v>
      </c>
      <c r="C308" s="3">
        <v>22.2</v>
      </c>
      <c r="D308" s="3">
        <v>22</v>
      </c>
      <c r="E308" s="5">
        <f>EnergiaSolar[[#This Row],[Producido]]-EnergiaSolar[[#This Row],[Consumido]]</f>
        <v>0.19999999999999929</v>
      </c>
      <c r="F308" s="3">
        <f>EnergiaSolar[[#This Row],[Producido]]-EnergiaSolar[[#This Row],[Consumido]]</f>
        <v>0.19999999999999929</v>
      </c>
      <c r="G308" s="5" cm="1">
        <f t="array" ref="G308">EnergiaSolar[[#This Row],[Variante ]]*CostPerKwh[Precio Promedio Kwh]</f>
        <v>6.1999999999999778E-2</v>
      </c>
    </row>
    <row r="309" spans="1:7" x14ac:dyDescent="0.25">
      <c r="A309" s="2">
        <v>44982</v>
      </c>
      <c r="B309">
        <v>2</v>
      </c>
      <c r="C309" s="3">
        <v>27.7</v>
      </c>
      <c r="D309" s="3">
        <v>25.8</v>
      </c>
      <c r="E309" s="5">
        <f>EnergiaSolar[[#This Row],[Producido]]-EnergiaSolar[[#This Row],[Consumido]]</f>
        <v>1.8999999999999986</v>
      </c>
      <c r="F309" s="3">
        <f>EnergiaSolar[[#This Row],[Producido]]-EnergiaSolar[[#This Row],[Consumido]]</f>
        <v>1.8999999999999986</v>
      </c>
      <c r="G309" s="5" cm="1">
        <f t="array" ref="G309">EnergiaSolar[[#This Row],[Variante ]]*CostPerKwh[Precio Promedio Kwh]</f>
        <v>0.58899999999999952</v>
      </c>
    </row>
    <row r="310" spans="1:7" x14ac:dyDescent="0.25">
      <c r="A310" s="2">
        <v>44983</v>
      </c>
      <c r="B310">
        <v>2</v>
      </c>
      <c r="C310" s="3">
        <v>30</v>
      </c>
      <c r="D310" s="3">
        <v>24.6</v>
      </c>
      <c r="E310" s="5">
        <f>EnergiaSolar[[#This Row],[Producido]]-EnergiaSolar[[#This Row],[Consumido]]</f>
        <v>5.3999999999999986</v>
      </c>
      <c r="F310" s="3">
        <f>EnergiaSolar[[#This Row],[Producido]]-EnergiaSolar[[#This Row],[Consumido]]</f>
        <v>5.3999999999999986</v>
      </c>
      <c r="G310" s="5" cm="1">
        <f t="array" ref="G310">EnergiaSolar[[#This Row],[Variante ]]*CostPerKwh[Precio Promedio Kwh]</f>
        <v>1.6739999999999995</v>
      </c>
    </row>
    <row r="311" spans="1:7" x14ac:dyDescent="0.25">
      <c r="A311" s="2">
        <v>44984</v>
      </c>
      <c r="B311">
        <v>2</v>
      </c>
      <c r="C311" s="3">
        <v>30.1</v>
      </c>
      <c r="D311" s="3">
        <v>20.8</v>
      </c>
      <c r="E311" s="5">
        <f>EnergiaSolar[[#This Row],[Producido]]-EnergiaSolar[[#This Row],[Consumido]]</f>
        <v>9.3000000000000007</v>
      </c>
      <c r="F311" s="3">
        <f>EnergiaSolar[[#This Row],[Producido]]-EnergiaSolar[[#This Row],[Consumido]]</f>
        <v>9.3000000000000007</v>
      </c>
      <c r="G311" s="5" cm="1">
        <f t="array" ref="G311">EnergiaSolar[[#This Row],[Variante ]]*CostPerKwh[Precio Promedio Kwh]</f>
        <v>2.883</v>
      </c>
    </row>
    <row r="312" spans="1:7" x14ac:dyDescent="0.25">
      <c r="A312" s="2">
        <v>44985</v>
      </c>
      <c r="B312">
        <v>2</v>
      </c>
      <c r="C312" s="3">
        <v>22.4</v>
      </c>
      <c r="D312" s="3">
        <v>18.600000000000001</v>
      </c>
      <c r="E312" s="5">
        <f>EnergiaSolar[[#This Row],[Producido]]-EnergiaSolar[[#This Row],[Consumido]]</f>
        <v>3.7999999999999972</v>
      </c>
      <c r="F312" s="3">
        <f>EnergiaSolar[[#This Row],[Producido]]-EnergiaSolar[[#This Row],[Consumido]]</f>
        <v>3.7999999999999972</v>
      </c>
      <c r="G312" s="5" cm="1">
        <f t="array" ref="G312">EnergiaSolar[[#This Row],[Variante ]]*CostPerKwh[Precio Promedio Kwh]</f>
        <v>1.177999999999999</v>
      </c>
    </row>
    <row r="313" spans="1:7" x14ac:dyDescent="0.25">
      <c r="A313" s="2">
        <v>44986</v>
      </c>
      <c r="B313">
        <v>2</v>
      </c>
      <c r="C313" s="3">
        <v>29.2</v>
      </c>
      <c r="D313" s="3">
        <v>21.4</v>
      </c>
      <c r="E313" s="5">
        <f>EnergiaSolar[[#This Row],[Producido]]-EnergiaSolar[[#This Row],[Consumido]]</f>
        <v>7.8000000000000007</v>
      </c>
      <c r="F313" s="3">
        <f>EnergiaSolar[[#This Row],[Producido]]-EnergiaSolar[[#This Row],[Consumido]]</f>
        <v>7.8000000000000007</v>
      </c>
      <c r="G313" s="5" cm="1">
        <f t="array" ref="G313">EnergiaSolar[[#This Row],[Variante ]]*CostPerKwh[Precio Promedio Kwh]</f>
        <v>2.4180000000000001</v>
      </c>
    </row>
    <row r="314" spans="1:7" x14ac:dyDescent="0.25">
      <c r="A314" s="2">
        <v>44987</v>
      </c>
      <c r="B314">
        <v>2</v>
      </c>
      <c r="C314" s="3">
        <v>23</v>
      </c>
      <c r="D314" s="3">
        <v>22.2</v>
      </c>
      <c r="E314" s="5">
        <f>EnergiaSolar[[#This Row],[Producido]]-EnergiaSolar[[#This Row],[Consumido]]</f>
        <v>0.80000000000000071</v>
      </c>
      <c r="F314" s="3">
        <f>EnergiaSolar[[#This Row],[Producido]]-EnergiaSolar[[#This Row],[Consumido]]</f>
        <v>0.80000000000000071</v>
      </c>
      <c r="G314" s="5" cm="1">
        <f t="array" ref="G314">EnergiaSolar[[#This Row],[Variante ]]*CostPerKwh[Precio Promedio Kwh]</f>
        <v>0.24800000000000022</v>
      </c>
    </row>
    <row r="315" spans="1:7" x14ac:dyDescent="0.25">
      <c r="A315" s="2">
        <v>44988</v>
      </c>
      <c r="B315">
        <v>2</v>
      </c>
      <c r="C315" s="3">
        <v>20.8</v>
      </c>
      <c r="D315" s="3">
        <v>26</v>
      </c>
      <c r="E315" s="5">
        <f>EnergiaSolar[[#This Row],[Producido]]-EnergiaSolar[[#This Row],[Consumido]]</f>
        <v>-5.1999999999999993</v>
      </c>
      <c r="F315" s="3">
        <f>EnergiaSolar[[#This Row],[Producido]]-EnergiaSolar[[#This Row],[Consumido]]</f>
        <v>-5.1999999999999993</v>
      </c>
      <c r="G315" s="5" cm="1">
        <f t="array" ref="G315">EnergiaSolar[[#This Row],[Variante ]]*CostPerKwh[Precio Promedio Kwh]</f>
        <v>-1.6119999999999999</v>
      </c>
    </row>
    <row r="316" spans="1:7" x14ac:dyDescent="0.25">
      <c r="A316" s="2">
        <v>44989</v>
      </c>
      <c r="B316">
        <v>2</v>
      </c>
      <c r="C316" s="3">
        <v>29.1</v>
      </c>
      <c r="D316" s="3">
        <v>20.7</v>
      </c>
      <c r="E316" s="5">
        <f>EnergiaSolar[[#This Row],[Producido]]-EnergiaSolar[[#This Row],[Consumido]]</f>
        <v>8.4000000000000021</v>
      </c>
      <c r="F316" s="3">
        <f>EnergiaSolar[[#This Row],[Producido]]-EnergiaSolar[[#This Row],[Consumido]]</f>
        <v>8.4000000000000021</v>
      </c>
      <c r="G316" s="5" cm="1">
        <f t="array" ref="G316">EnergiaSolar[[#This Row],[Variante ]]*CostPerKwh[Precio Promedio Kwh]</f>
        <v>2.6040000000000005</v>
      </c>
    </row>
    <row r="317" spans="1:7" x14ac:dyDescent="0.25">
      <c r="A317" s="2">
        <v>44990</v>
      </c>
      <c r="B317">
        <v>2</v>
      </c>
      <c r="C317" s="3">
        <v>18.3</v>
      </c>
      <c r="D317" s="3">
        <v>24.1</v>
      </c>
      <c r="E317" s="5">
        <f>EnergiaSolar[[#This Row],[Producido]]-EnergiaSolar[[#This Row],[Consumido]]</f>
        <v>-5.8000000000000007</v>
      </c>
      <c r="F317" s="3">
        <f>EnergiaSolar[[#This Row],[Producido]]-EnergiaSolar[[#This Row],[Consumido]]</f>
        <v>-5.8000000000000007</v>
      </c>
      <c r="G317" s="5" cm="1">
        <f t="array" ref="G317">EnergiaSolar[[#This Row],[Variante ]]*CostPerKwh[Precio Promedio Kwh]</f>
        <v>-1.7980000000000003</v>
      </c>
    </row>
    <row r="318" spans="1:7" x14ac:dyDescent="0.25">
      <c r="A318" s="2">
        <v>44991</v>
      </c>
      <c r="B318">
        <v>2</v>
      </c>
      <c r="C318" s="3">
        <v>30.8</v>
      </c>
      <c r="D318" s="3">
        <v>20.8</v>
      </c>
      <c r="E318" s="5">
        <f>EnergiaSolar[[#This Row],[Producido]]-EnergiaSolar[[#This Row],[Consumido]]</f>
        <v>10</v>
      </c>
      <c r="F318" s="3">
        <f>EnergiaSolar[[#This Row],[Producido]]-EnergiaSolar[[#This Row],[Consumido]]</f>
        <v>10</v>
      </c>
      <c r="G318" s="5" cm="1">
        <f t="array" ref="G318">EnergiaSolar[[#This Row],[Variante ]]*CostPerKwh[Precio Promedio Kwh]</f>
        <v>3.1</v>
      </c>
    </row>
    <row r="319" spans="1:7" x14ac:dyDescent="0.25">
      <c r="A319" s="2">
        <v>44992</v>
      </c>
      <c r="B319">
        <v>2</v>
      </c>
      <c r="C319" s="3">
        <v>28.1</v>
      </c>
      <c r="D319" s="3">
        <v>23.6</v>
      </c>
      <c r="E319" s="5">
        <f>EnergiaSolar[[#This Row],[Producido]]-EnergiaSolar[[#This Row],[Consumido]]</f>
        <v>4.5</v>
      </c>
      <c r="F319" s="3">
        <f>EnergiaSolar[[#This Row],[Producido]]-EnergiaSolar[[#This Row],[Consumido]]</f>
        <v>4.5</v>
      </c>
      <c r="G319" s="5" cm="1">
        <f t="array" ref="G319">EnergiaSolar[[#This Row],[Variante ]]*CostPerKwh[Precio Promedio Kwh]</f>
        <v>1.395</v>
      </c>
    </row>
    <row r="320" spans="1:7" x14ac:dyDescent="0.25">
      <c r="A320" s="2">
        <v>44993</v>
      </c>
      <c r="B320">
        <v>2</v>
      </c>
      <c r="C320" s="3">
        <v>29.9</v>
      </c>
      <c r="D320" s="3">
        <v>22</v>
      </c>
      <c r="E320" s="5">
        <f>EnergiaSolar[[#This Row],[Producido]]-EnergiaSolar[[#This Row],[Consumido]]</f>
        <v>7.8999999999999986</v>
      </c>
      <c r="F320" s="3">
        <f>EnergiaSolar[[#This Row],[Producido]]-EnergiaSolar[[#This Row],[Consumido]]</f>
        <v>7.8999999999999986</v>
      </c>
      <c r="G320" s="5" cm="1">
        <f t="array" ref="G320">EnergiaSolar[[#This Row],[Variante ]]*CostPerKwh[Precio Promedio Kwh]</f>
        <v>2.4489999999999994</v>
      </c>
    </row>
    <row r="321" spans="1:7" x14ac:dyDescent="0.25">
      <c r="A321" s="2">
        <v>44994</v>
      </c>
      <c r="B321">
        <v>2</v>
      </c>
      <c r="C321" s="3">
        <v>31.6</v>
      </c>
      <c r="D321" s="3">
        <v>22.4</v>
      </c>
      <c r="E321" s="5">
        <f>EnergiaSolar[[#This Row],[Producido]]-EnergiaSolar[[#This Row],[Consumido]]</f>
        <v>9.2000000000000028</v>
      </c>
      <c r="F321" s="3">
        <f>EnergiaSolar[[#This Row],[Producido]]-EnergiaSolar[[#This Row],[Consumido]]</f>
        <v>9.2000000000000028</v>
      </c>
      <c r="G321" s="5" cm="1">
        <f t="array" ref="G321">EnergiaSolar[[#This Row],[Variante ]]*CostPerKwh[Precio Promedio Kwh]</f>
        <v>2.8520000000000008</v>
      </c>
    </row>
    <row r="322" spans="1:7" x14ac:dyDescent="0.25">
      <c r="A322" s="2">
        <v>44995</v>
      </c>
      <c r="B322">
        <v>2</v>
      </c>
      <c r="C322" s="3">
        <v>29.4</v>
      </c>
      <c r="D322" s="3">
        <v>27.9</v>
      </c>
      <c r="E322" s="5">
        <f>EnergiaSolar[[#This Row],[Producido]]-EnergiaSolar[[#This Row],[Consumido]]</f>
        <v>1.5</v>
      </c>
      <c r="F322" s="3">
        <f>EnergiaSolar[[#This Row],[Producido]]-EnergiaSolar[[#This Row],[Consumido]]</f>
        <v>1.5</v>
      </c>
      <c r="G322" s="5" cm="1">
        <f t="array" ref="G322">EnergiaSolar[[#This Row],[Variante ]]*CostPerKwh[Precio Promedio Kwh]</f>
        <v>0.46499999999999997</v>
      </c>
    </row>
    <row r="323" spans="1:7" x14ac:dyDescent="0.25">
      <c r="A323" s="2">
        <v>44996</v>
      </c>
      <c r="B323">
        <v>2</v>
      </c>
      <c r="C323" s="3">
        <v>31.5</v>
      </c>
      <c r="D323" s="3">
        <v>24.7</v>
      </c>
      <c r="E323" s="5">
        <f>EnergiaSolar[[#This Row],[Producido]]-EnergiaSolar[[#This Row],[Consumido]]</f>
        <v>6.8000000000000007</v>
      </c>
      <c r="F323" s="3">
        <f>EnergiaSolar[[#This Row],[Producido]]-EnergiaSolar[[#This Row],[Consumido]]</f>
        <v>6.8000000000000007</v>
      </c>
      <c r="G323" s="5" cm="1">
        <f t="array" ref="G323">EnergiaSolar[[#This Row],[Variante ]]*CostPerKwh[Precio Promedio Kwh]</f>
        <v>2.1080000000000001</v>
      </c>
    </row>
    <row r="324" spans="1:7" x14ac:dyDescent="0.25">
      <c r="A324" s="2">
        <v>44997</v>
      </c>
      <c r="B324">
        <v>3</v>
      </c>
      <c r="C324" s="3">
        <v>32.299999999999997</v>
      </c>
      <c r="D324" s="3">
        <v>26</v>
      </c>
      <c r="E324" s="5">
        <f>EnergiaSolar[[#This Row],[Producido]]-EnergiaSolar[[#This Row],[Consumido]]</f>
        <v>6.2999999999999972</v>
      </c>
      <c r="F324" s="3">
        <f>EnergiaSolar[[#This Row],[Producido]]-EnergiaSolar[[#This Row],[Consumido]]</f>
        <v>6.2999999999999972</v>
      </c>
      <c r="G324" s="5" cm="1">
        <f t="array" ref="G324">EnergiaSolar[[#This Row],[Variante ]]*CostPerKwh[Precio Promedio Kwh]</f>
        <v>1.9529999999999992</v>
      </c>
    </row>
    <row r="325" spans="1:7" x14ac:dyDescent="0.25">
      <c r="A325" s="2">
        <v>44998</v>
      </c>
      <c r="B325">
        <v>3</v>
      </c>
      <c r="C325" s="3">
        <v>32.4</v>
      </c>
      <c r="D325" s="3">
        <v>23.8</v>
      </c>
      <c r="E325" s="5">
        <f>EnergiaSolar[[#This Row],[Producido]]-EnergiaSolar[[#This Row],[Consumido]]</f>
        <v>8.5999999999999979</v>
      </c>
      <c r="F325" s="3">
        <f>EnergiaSolar[[#This Row],[Producido]]-EnergiaSolar[[#This Row],[Consumido]]</f>
        <v>8.5999999999999979</v>
      </c>
      <c r="G325" s="5" cm="1">
        <f t="array" ref="G325">EnergiaSolar[[#This Row],[Variante ]]*CostPerKwh[Precio Promedio Kwh]</f>
        <v>2.6659999999999995</v>
      </c>
    </row>
    <row r="326" spans="1:7" x14ac:dyDescent="0.25">
      <c r="A326" s="2">
        <v>44999</v>
      </c>
      <c r="B326">
        <v>3</v>
      </c>
      <c r="C326" s="3">
        <v>26.7</v>
      </c>
      <c r="D326" s="3">
        <v>23.5</v>
      </c>
      <c r="E326" s="5">
        <f>EnergiaSolar[[#This Row],[Producido]]-EnergiaSolar[[#This Row],[Consumido]]</f>
        <v>3.1999999999999993</v>
      </c>
      <c r="F326" s="3">
        <f>EnergiaSolar[[#This Row],[Producido]]-EnergiaSolar[[#This Row],[Consumido]]</f>
        <v>3.1999999999999993</v>
      </c>
      <c r="G326" s="5" cm="1">
        <f t="array" ref="G326">EnergiaSolar[[#This Row],[Variante ]]*CostPerKwh[Precio Promedio Kwh]</f>
        <v>0.99199999999999977</v>
      </c>
    </row>
    <row r="327" spans="1:7" x14ac:dyDescent="0.25">
      <c r="A327" s="2">
        <v>45000</v>
      </c>
      <c r="B327">
        <v>3</v>
      </c>
      <c r="C327" s="3">
        <v>29.1</v>
      </c>
      <c r="D327" s="3">
        <v>22.9</v>
      </c>
      <c r="E327" s="5">
        <f>EnergiaSolar[[#This Row],[Producido]]-EnergiaSolar[[#This Row],[Consumido]]</f>
        <v>6.2000000000000028</v>
      </c>
      <c r="F327" s="3">
        <f>EnergiaSolar[[#This Row],[Producido]]-EnergiaSolar[[#This Row],[Consumido]]</f>
        <v>6.2000000000000028</v>
      </c>
      <c r="G327" s="5" cm="1">
        <f t="array" ref="G327">EnergiaSolar[[#This Row],[Variante ]]*CostPerKwh[Precio Promedio Kwh]</f>
        <v>1.9220000000000008</v>
      </c>
    </row>
    <row r="328" spans="1:7" x14ac:dyDescent="0.25">
      <c r="A328" s="2">
        <v>45001</v>
      </c>
      <c r="B328">
        <v>3</v>
      </c>
      <c r="C328" s="3">
        <v>29.9</v>
      </c>
      <c r="D328" s="3">
        <v>25.7</v>
      </c>
      <c r="E328" s="5">
        <f>EnergiaSolar[[#This Row],[Producido]]-EnergiaSolar[[#This Row],[Consumido]]</f>
        <v>4.1999999999999993</v>
      </c>
      <c r="F328" s="3">
        <f>EnergiaSolar[[#This Row],[Producido]]-EnergiaSolar[[#This Row],[Consumido]]</f>
        <v>4.1999999999999993</v>
      </c>
      <c r="G328" s="5" cm="1">
        <f t="array" ref="G328">EnergiaSolar[[#This Row],[Variante ]]*CostPerKwh[Precio Promedio Kwh]</f>
        <v>1.3019999999999998</v>
      </c>
    </row>
    <row r="329" spans="1:7" x14ac:dyDescent="0.25">
      <c r="A329" s="2">
        <v>45002</v>
      </c>
      <c r="B329">
        <v>3</v>
      </c>
      <c r="C329" s="3">
        <v>30.5</v>
      </c>
      <c r="D329" s="3">
        <v>23.8</v>
      </c>
      <c r="E329" s="5">
        <f>EnergiaSolar[[#This Row],[Producido]]-EnergiaSolar[[#This Row],[Consumido]]</f>
        <v>6.6999999999999993</v>
      </c>
      <c r="F329" s="3">
        <f>EnergiaSolar[[#This Row],[Producido]]-EnergiaSolar[[#This Row],[Consumido]]</f>
        <v>6.6999999999999993</v>
      </c>
      <c r="G329" s="5" cm="1">
        <f t="array" ref="G329">EnergiaSolar[[#This Row],[Variante ]]*CostPerKwh[Precio Promedio Kwh]</f>
        <v>2.077</v>
      </c>
    </row>
    <row r="330" spans="1:7" x14ac:dyDescent="0.25">
      <c r="A330" s="2">
        <v>45003</v>
      </c>
      <c r="B330">
        <v>3</v>
      </c>
      <c r="C330" s="3">
        <v>29.5</v>
      </c>
      <c r="D330" s="3">
        <v>26.1</v>
      </c>
      <c r="E330" s="5">
        <f>EnergiaSolar[[#This Row],[Producido]]-EnergiaSolar[[#This Row],[Consumido]]</f>
        <v>3.3999999999999986</v>
      </c>
      <c r="F330" s="3">
        <f>EnergiaSolar[[#This Row],[Producido]]-EnergiaSolar[[#This Row],[Consumido]]</f>
        <v>3.3999999999999986</v>
      </c>
      <c r="G330" s="5" cm="1">
        <f t="array" ref="G330">EnergiaSolar[[#This Row],[Variante ]]*CostPerKwh[Precio Promedio Kwh]</f>
        <v>1.0539999999999996</v>
      </c>
    </row>
    <row r="331" spans="1:7" x14ac:dyDescent="0.25">
      <c r="A331" s="2">
        <v>45004</v>
      </c>
      <c r="B331">
        <v>3</v>
      </c>
      <c r="C331" s="3">
        <v>22.5</v>
      </c>
      <c r="D331" s="3">
        <v>26.2</v>
      </c>
      <c r="E331" s="5">
        <f>EnergiaSolar[[#This Row],[Producido]]-EnergiaSolar[[#This Row],[Consumido]]</f>
        <v>-3.6999999999999993</v>
      </c>
      <c r="F331" s="3">
        <f>EnergiaSolar[[#This Row],[Producido]]-EnergiaSolar[[#This Row],[Consumido]]</f>
        <v>-3.6999999999999993</v>
      </c>
      <c r="G331" s="5" cm="1">
        <f t="array" ref="G331">EnergiaSolar[[#This Row],[Variante ]]*CostPerKwh[Precio Promedio Kwh]</f>
        <v>-1.1469999999999998</v>
      </c>
    </row>
    <row r="332" spans="1:7" x14ac:dyDescent="0.25">
      <c r="A332" s="2">
        <v>45005</v>
      </c>
      <c r="B332">
        <v>3</v>
      </c>
      <c r="C332" s="3">
        <v>21.6</v>
      </c>
      <c r="D332" s="3">
        <v>24.2</v>
      </c>
      <c r="E332" s="5">
        <f>EnergiaSolar[[#This Row],[Producido]]-EnergiaSolar[[#This Row],[Consumido]]</f>
        <v>-2.5999999999999979</v>
      </c>
      <c r="F332" s="3">
        <f>EnergiaSolar[[#This Row],[Producido]]-EnergiaSolar[[#This Row],[Consumido]]</f>
        <v>-2.5999999999999979</v>
      </c>
      <c r="G332" s="5" cm="1">
        <f t="array" ref="G332">EnergiaSolar[[#This Row],[Variante ]]*CostPerKwh[Precio Promedio Kwh]</f>
        <v>-0.80599999999999938</v>
      </c>
    </row>
    <row r="333" spans="1:7" x14ac:dyDescent="0.25">
      <c r="A333" s="2">
        <v>45006</v>
      </c>
      <c r="B333">
        <v>3</v>
      </c>
      <c r="C333" s="3">
        <v>25.2</v>
      </c>
      <c r="D333" s="3">
        <v>22.8</v>
      </c>
      <c r="E333" s="5">
        <f>EnergiaSolar[[#This Row],[Producido]]-EnergiaSolar[[#This Row],[Consumido]]</f>
        <v>2.3999999999999986</v>
      </c>
      <c r="F333" s="3">
        <f>EnergiaSolar[[#This Row],[Producido]]-EnergiaSolar[[#This Row],[Consumido]]</f>
        <v>2.3999999999999986</v>
      </c>
      <c r="G333" s="5" cm="1">
        <f t="array" ref="G333">EnergiaSolar[[#This Row],[Variante ]]*CostPerKwh[Precio Promedio Kwh]</f>
        <v>0.74399999999999955</v>
      </c>
    </row>
    <row r="334" spans="1:7" x14ac:dyDescent="0.25">
      <c r="A334" s="2">
        <v>45007</v>
      </c>
      <c r="B334">
        <v>3</v>
      </c>
      <c r="C334" s="3">
        <v>31.7</v>
      </c>
      <c r="D334" s="3">
        <v>25.7</v>
      </c>
      <c r="E334" s="5">
        <f>EnergiaSolar[[#This Row],[Producido]]-EnergiaSolar[[#This Row],[Consumido]]</f>
        <v>6</v>
      </c>
      <c r="F334" s="3">
        <f>EnergiaSolar[[#This Row],[Producido]]-EnergiaSolar[[#This Row],[Consumido]]</f>
        <v>6</v>
      </c>
      <c r="G334" s="5" cm="1">
        <f t="array" ref="G334">EnergiaSolar[[#This Row],[Variante ]]*CostPerKwh[Precio Promedio Kwh]</f>
        <v>1.8599999999999999</v>
      </c>
    </row>
    <row r="335" spans="1:7" x14ac:dyDescent="0.25">
      <c r="A335" s="2">
        <v>45008</v>
      </c>
      <c r="B335">
        <v>3</v>
      </c>
      <c r="C335" s="3">
        <v>32.4</v>
      </c>
      <c r="D335" s="3">
        <v>22.1</v>
      </c>
      <c r="E335" s="5">
        <f>EnergiaSolar[[#This Row],[Producido]]-EnergiaSolar[[#This Row],[Consumido]]</f>
        <v>10.299999999999997</v>
      </c>
      <c r="F335" s="3">
        <f>EnergiaSolar[[#This Row],[Producido]]-EnergiaSolar[[#This Row],[Consumido]]</f>
        <v>10.299999999999997</v>
      </c>
      <c r="G335" s="5" cm="1">
        <f t="array" ref="G335">EnergiaSolar[[#This Row],[Variante ]]*CostPerKwh[Precio Promedio Kwh]</f>
        <v>3.1929999999999992</v>
      </c>
    </row>
    <row r="336" spans="1:7" x14ac:dyDescent="0.25">
      <c r="A336" s="2">
        <v>45009</v>
      </c>
      <c r="B336">
        <v>3</v>
      </c>
      <c r="C336" s="3">
        <v>24.6</v>
      </c>
      <c r="D336" s="3">
        <v>24.3</v>
      </c>
      <c r="E336" s="5">
        <f>EnergiaSolar[[#This Row],[Producido]]-EnergiaSolar[[#This Row],[Consumido]]</f>
        <v>0.30000000000000071</v>
      </c>
      <c r="F336" s="3">
        <f>EnergiaSolar[[#This Row],[Producido]]-EnergiaSolar[[#This Row],[Consumido]]</f>
        <v>0.30000000000000071</v>
      </c>
      <c r="G336" s="5" cm="1">
        <f t="array" ref="G336">EnergiaSolar[[#This Row],[Variante ]]*CostPerKwh[Precio Promedio Kwh]</f>
        <v>9.3000000000000221E-2</v>
      </c>
    </row>
    <row r="337" spans="1:7" x14ac:dyDescent="0.25">
      <c r="A337" s="2">
        <v>45010</v>
      </c>
      <c r="B337">
        <v>3</v>
      </c>
      <c r="C337" s="3">
        <v>21.5</v>
      </c>
      <c r="D337" s="3">
        <v>26.9</v>
      </c>
      <c r="E337" s="5">
        <f>EnergiaSolar[[#This Row],[Producido]]-EnergiaSolar[[#This Row],[Consumido]]</f>
        <v>-5.3999999999999986</v>
      </c>
      <c r="F337" s="3">
        <f>EnergiaSolar[[#This Row],[Producido]]-EnergiaSolar[[#This Row],[Consumido]]</f>
        <v>-5.3999999999999986</v>
      </c>
      <c r="G337" s="5" cm="1">
        <f t="array" ref="G337">EnergiaSolar[[#This Row],[Variante ]]*CostPerKwh[Precio Promedio Kwh]</f>
        <v>-1.6739999999999995</v>
      </c>
    </row>
    <row r="338" spans="1:7" x14ac:dyDescent="0.25">
      <c r="A338" s="2">
        <v>45011</v>
      </c>
      <c r="B338">
        <v>3</v>
      </c>
      <c r="C338" s="3">
        <v>28.9</v>
      </c>
      <c r="D338" s="3">
        <v>28.6</v>
      </c>
      <c r="E338" s="5">
        <f>EnergiaSolar[[#This Row],[Producido]]-EnergiaSolar[[#This Row],[Consumido]]</f>
        <v>0.29999999999999716</v>
      </c>
      <c r="F338" s="3">
        <f>EnergiaSolar[[#This Row],[Producido]]-EnergiaSolar[[#This Row],[Consumido]]</f>
        <v>0.29999999999999716</v>
      </c>
      <c r="G338" s="5" cm="1">
        <f t="array" ref="G338">EnergiaSolar[[#This Row],[Variante ]]*CostPerKwh[Precio Promedio Kwh]</f>
        <v>9.2999999999999125E-2</v>
      </c>
    </row>
    <row r="339" spans="1:7" x14ac:dyDescent="0.25">
      <c r="A339" s="2">
        <v>45012</v>
      </c>
      <c r="B339">
        <v>3</v>
      </c>
      <c r="C339" s="3">
        <v>20.9</v>
      </c>
      <c r="D339" s="3">
        <v>22.2</v>
      </c>
      <c r="E339" s="5">
        <f>EnergiaSolar[[#This Row],[Producido]]-EnergiaSolar[[#This Row],[Consumido]]</f>
        <v>-1.3000000000000007</v>
      </c>
      <c r="F339" s="3">
        <f>EnergiaSolar[[#This Row],[Producido]]-EnergiaSolar[[#This Row],[Consumido]]</f>
        <v>-1.3000000000000007</v>
      </c>
      <c r="G339" s="5" cm="1">
        <f t="array" ref="G339">EnergiaSolar[[#This Row],[Variante ]]*CostPerKwh[Precio Promedio Kwh]</f>
        <v>-0.40300000000000019</v>
      </c>
    </row>
    <row r="340" spans="1:7" x14ac:dyDescent="0.25">
      <c r="A340" s="2">
        <v>45013</v>
      </c>
      <c r="B340">
        <v>3</v>
      </c>
      <c r="C340" s="3">
        <v>25.5</v>
      </c>
      <c r="D340" s="3">
        <v>21.9</v>
      </c>
      <c r="E340" s="5">
        <f>EnergiaSolar[[#This Row],[Producido]]-EnergiaSolar[[#This Row],[Consumido]]</f>
        <v>3.6000000000000014</v>
      </c>
      <c r="F340" s="3">
        <f>EnergiaSolar[[#This Row],[Producido]]-EnergiaSolar[[#This Row],[Consumido]]</f>
        <v>3.6000000000000014</v>
      </c>
      <c r="G340" s="5" cm="1">
        <f t="array" ref="G340">EnergiaSolar[[#This Row],[Variante ]]*CostPerKwh[Precio Promedio Kwh]</f>
        <v>1.1160000000000003</v>
      </c>
    </row>
    <row r="341" spans="1:7" x14ac:dyDescent="0.25">
      <c r="A341" s="2">
        <v>45014</v>
      </c>
      <c r="B341">
        <v>3</v>
      </c>
      <c r="C341" s="3">
        <v>20.399999999999999</v>
      </c>
      <c r="D341" s="3">
        <v>26.3</v>
      </c>
      <c r="E341" s="5">
        <f>EnergiaSolar[[#This Row],[Producido]]-EnergiaSolar[[#This Row],[Consumido]]</f>
        <v>-5.9000000000000021</v>
      </c>
      <c r="F341" s="3">
        <f>EnergiaSolar[[#This Row],[Producido]]-EnergiaSolar[[#This Row],[Consumido]]</f>
        <v>-5.9000000000000021</v>
      </c>
      <c r="G341" s="5" cm="1">
        <f t="array" ref="G341">EnergiaSolar[[#This Row],[Variante ]]*CostPerKwh[Precio Promedio Kwh]</f>
        <v>-1.8290000000000006</v>
      </c>
    </row>
    <row r="342" spans="1:7" x14ac:dyDescent="0.25">
      <c r="A342" s="2">
        <v>45015</v>
      </c>
      <c r="B342">
        <v>3</v>
      </c>
      <c r="C342" s="3">
        <v>24.5</v>
      </c>
      <c r="D342" s="3">
        <v>25.4</v>
      </c>
      <c r="E342" s="5">
        <f>EnergiaSolar[[#This Row],[Producido]]-EnergiaSolar[[#This Row],[Consumido]]</f>
        <v>-0.89999999999999858</v>
      </c>
      <c r="F342" s="3">
        <f>EnergiaSolar[[#This Row],[Producido]]-EnergiaSolar[[#This Row],[Consumido]]</f>
        <v>-0.89999999999999858</v>
      </c>
      <c r="G342" s="5" cm="1">
        <f t="array" ref="G342">EnergiaSolar[[#This Row],[Variante ]]*CostPerKwh[Precio Promedio Kwh]</f>
        <v>-0.27899999999999958</v>
      </c>
    </row>
    <row r="343" spans="1:7" x14ac:dyDescent="0.25">
      <c r="A343" s="2">
        <v>45016</v>
      </c>
      <c r="B343">
        <v>3</v>
      </c>
      <c r="C343" s="3">
        <v>34.700000000000003</v>
      </c>
      <c r="D343" s="3">
        <v>33.6</v>
      </c>
      <c r="E343" s="5">
        <f>EnergiaSolar[[#This Row],[Producido]]-EnergiaSolar[[#This Row],[Consumido]]</f>
        <v>1.1000000000000014</v>
      </c>
      <c r="F343" s="3">
        <f>EnergiaSolar[[#This Row],[Producido]]-EnergiaSolar[[#This Row],[Consumido]]</f>
        <v>1.1000000000000014</v>
      </c>
      <c r="G343" s="5" cm="1">
        <f t="array" ref="G343">EnergiaSolar[[#This Row],[Variante ]]*CostPerKwh[Precio Promedio Kwh]</f>
        <v>0.34100000000000041</v>
      </c>
    </row>
    <row r="344" spans="1:7" x14ac:dyDescent="0.25">
      <c r="A344" s="2">
        <v>45017</v>
      </c>
      <c r="B344">
        <v>3</v>
      </c>
      <c r="C344" s="3">
        <v>28.3</v>
      </c>
      <c r="D344" s="3">
        <v>28</v>
      </c>
      <c r="E344" s="5">
        <f>EnergiaSolar[[#This Row],[Producido]]-EnergiaSolar[[#This Row],[Consumido]]</f>
        <v>0.30000000000000071</v>
      </c>
      <c r="F344" s="3">
        <f>EnergiaSolar[[#This Row],[Producido]]-EnergiaSolar[[#This Row],[Consumido]]</f>
        <v>0.30000000000000071</v>
      </c>
      <c r="G344" s="5" cm="1">
        <f t="array" ref="G344">EnergiaSolar[[#This Row],[Variante ]]*CostPerKwh[Precio Promedio Kwh]</f>
        <v>9.3000000000000221E-2</v>
      </c>
    </row>
    <row r="345" spans="1:7" x14ac:dyDescent="0.25">
      <c r="A345" s="2">
        <v>45018</v>
      </c>
      <c r="B345">
        <v>3</v>
      </c>
      <c r="C345" s="3">
        <v>20.2</v>
      </c>
      <c r="D345" s="3">
        <v>25.7</v>
      </c>
      <c r="E345" s="5">
        <f>EnergiaSolar[[#This Row],[Producido]]-EnergiaSolar[[#This Row],[Consumido]]</f>
        <v>-5.5</v>
      </c>
      <c r="F345" s="3">
        <f>EnergiaSolar[[#This Row],[Producido]]-EnergiaSolar[[#This Row],[Consumido]]</f>
        <v>-5.5</v>
      </c>
      <c r="G345" s="5" cm="1">
        <f t="array" ref="G345">EnergiaSolar[[#This Row],[Variante ]]*CostPerKwh[Precio Promedio Kwh]</f>
        <v>-1.7050000000000001</v>
      </c>
    </row>
    <row r="346" spans="1:7" x14ac:dyDescent="0.25">
      <c r="A346" s="2">
        <v>45019</v>
      </c>
      <c r="B346">
        <v>3</v>
      </c>
      <c r="C346" s="3">
        <v>18.100000000000001</v>
      </c>
      <c r="D346" s="3">
        <v>19.899999999999999</v>
      </c>
      <c r="E346" s="5">
        <f>EnergiaSolar[[#This Row],[Producido]]-EnergiaSolar[[#This Row],[Consumido]]</f>
        <v>-1.7999999999999972</v>
      </c>
      <c r="F346" s="3">
        <f>EnergiaSolar[[#This Row],[Producido]]-EnergiaSolar[[#This Row],[Consumido]]</f>
        <v>-1.7999999999999972</v>
      </c>
      <c r="G346" s="5" cm="1">
        <f t="array" ref="G346">EnergiaSolar[[#This Row],[Variante ]]*CostPerKwh[Precio Promedio Kwh]</f>
        <v>-0.55799999999999916</v>
      </c>
    </row>
    <row r="347" spans="1:7" x14ac:dyDescent="0.25">
      <c r="A347" s="2">
        <v>45020</v>
      </c>
      <c r="B347">
        <v>3</v>
      </c>
      <c r="C347" s="3">
        <v>23.8</v>
      </c>
      <c r="D347" s="3">
        <v>20.6</v>
      </c>
      <c r="E347" s="5">
        <f>EnergiaSolar[[#This Row],[Producido]]-EnergiaSolar[[#This Row],[Consumido]]</f>
        <v>3.1999999999999993</v>
      </c>
      <c r="F347" s="3">
        <f>EnergiaSolar[[#This Row],[Producido]]-EnergiaSolar[[#This Row],[Consumido]]</f>
        <v>3.1999999999999993</v>
      </c>
      <c r="G347" s="5" cm="1">
        <f t="array" ref="G347">EnergiaSolar[[#This Row],[Variante ]]*CostPerKwh[Precio Promedio Kwh]</f>
        <v>0.99199999999999977</v>
      </c>
    </row>
    <row r="348" spans="1:7" x14ac:dyDescent="0.25">
      <c r="A348" s="2">
        <v>45021</v>
      </c>
      <c r="B348">
        <v>3</v>
      </c>
      <c r="C348" s="3">
        <v>25.3</v>
      </c>
      <c r="D348" s="3">
        <v>23.2</v>
      </c>
      <c r="E348" s="5">
        <f>EnergiaSolar[[#This Row],[Producido]]-EnergiaSolar[[#This Row],[Consumido]]</f>
        <v>2.1000000000000014</v>
      </c>
      <c r="F348" s="3">
        <f>EnergiaSolar[[#This Row],[Producido]]-EnergiaSolar[[#This Row],[Consumido]]</f>
        <v>2.1000000000000014</v>
      </c>
      <c r="G348" s="5" cm="1">
        <f t="array" ref="G348">EnergiaSolar[[#This Row],[Variante ]]*CostPerKwh[Precio Promedio Kwh]</f>
        <v>0.65100000000000047</v>
      </c>
    </row>
    <row r="349" spans="1:7" x14ac:dyDescent="0.25">
      <c r="A349" s="2">
        <v>45022</v>
      </c>
      <c r="B349">
        <v>3</v>
      </c>
      <c r="C349" s="3">
        <v>20</v>
      </c>
      <c r="D349" s="3">
        <v>24.8</v>
      </c>
      <c r="E349" s="5">
        <f>EnergiaSolar[[#This Row],[Producido]]-EnergiaSolar[[#This Row],[Consumido]]</f>
        <v>-4.8000000000000007</v>
      </c>
      <c r="F349" s="3">
        <f>EnergiaSolar[[#This Row],[Producido]]-EnergiaSolar[[#This Row],[Consumido]]</f>
        <v>-4.8000000000000007</v>
      </c>
      <c r="G349" s="5" cm="1">
        <f t="array" ref="G349">EnergiaSolar[[#This Row],[Variante ]]*CostPerKwh[Precio Promedio Kwh]</f>
        <v>-1.4880000000000002</v>
      </c>
    </row>
    <row r="350" spans="1:7" x14ac:dyDescent="0.25">
      <c r="A350" s="2">
        <v>45023</v>
      </c>
      <c r="B350">
        <v>3</v>
      </c>
      <c r="C350" s="3">
        <v>12.4</v>
      </c>
      <c r="D350" s="3">
        <v>25.4</v>
      </c>
      <c r="E350" s="5">
        <f>EnergiaSolar[[#This Row],[Producido]]-EnergiaSolar[[#This Row],[Consumido]]</f>
        <v>-12.999999999999998</v>
      </c>
      <c r="F350" s="3">
        <f>EnergiaSolar[[#This Row],[Producido]]-EnergiaSolar[[#This Row],[Consumido]]</f>
        <v>-12.999999999999998</v>
      </c>
      <c r="G350" s="5" cm="1">
        <f t="array" ref="G350">EnergiaSolar[[#This Row],[Variante ]]*CostPerKwh[Precio Promedio Kwh]</f>
        <v>-4.0299999999999994</v>
      </c>
    </row>
    <row r="351" spans="1:7" x14ac:dyDescent="0.25">
      <c r="A351" s="2">
        <v>45024</v>
      </c>
      <c r="B351">
        <v>3</v>
      </c>
      <c r="C351" s="3">
        <v>21</v>
      </c>
      <c r="D351" s="3">
        <v>19.899999999999999</v>
      </c>
      <c r="E351" s="5">
        <f>EnergiaSolar[[#This Row],[Producido]]-EnergiaSolar[[#This Row],[Consumido]]</f>
        <v>1.1000000000000014</v>
      </c>
      <c r="F351" s="3">
        <f>EnergiaSolar[[#This Row],[Producido]]-EnergiaSolar[[#This Row],[Consumido]]</f>
        <v>1.1000000000000014</v>
      </c>
      <c r="G351" s="5" cm="1">
        <f t="array" ref="G351">EnergiaSolar[[#This Row],[Variante ]]*CostPerKwh[Precio Promedio Kwh]</f>
        <v>0.34100000000000041</v>
      </c>
    </row>
    <row r="352" spans="1:7" x14ac:dyDescent="0.25">
      <c r="A352" s="2">
        <v>45025</v>
      </c>
      <c r="B352">
        <v>3</v>
      </c>
      <c r="C352" s="3">
        <v>26.6</v>
      </c>
      <c r="D352" s="3">
        <v>23.4</v>
      </c>
      <c r="E352" s="5">
        <f>EnergiaSolar[[#This Row],[Producido]]-EnergiaSolar[[#This Row],[Consumido]]</f>
        <v>3.2000000000000028</v>
      </c>
      <c r="F352" s="3">
        <f>EnergiaSolar[[#This Row],[Producido]]-EnergiaSolar[[#This Row],[Consumido]]</f>
        <v>3.2000000000000028</v>
      </c>
      <c r="G352" s="5" cm="1">
        <f t="array" ref="G352">EnergiaSolar[[#This Row],[Variante ]]*CostPerKwh[Precio Promedio Kwh]</f>
        <v>0.99200000000000088</v>
      </c>
    </row>
    <row r="353" spans="1:7" x14ac:dyDescent="0.25">
      <c r="A353" s="2">
        <v>45026</v>
      </c>
      <c r="B353">
        <v>3</v>
      </c>
      <c r="C353" s="3">
        <v>30.6</v>
      </c>
      <c r="D353" s="3">
        <v>22.4</v>
      </c>
      <c r="E353" s="5">
        <f>EnergiaSolar[[#This Row],[Producido]]-EnergiaSolar[[#This Row],[Consumido]]</f>
        <v>8.2000000000000028</v>
      </c>
      <c r="F353" s="3">
        <f>EnergiaSolar[[#This Row],[Producido]]-EnergiaSolar[[#This Row],[Consumido]]</f>
        <v>8.2000000000000028</v>
      </c>
      <c r="G353" s="5" cm="1">
        <f t="array" ref="G353">EnergiaSolar[[#This Row],[Variante ]]*CostPerKwh[Precio Promedio Kwh]</f>
        <v>2.5420000000000007</v>
      </c>
    </row>
    <row r="354" spans="1:7" x14ac:dyDescent="0.25">
      <c r="A354" s="2">
        <v>45027</v>
      </c>
      <c r="B354">
        <v>3</v>
      </c>
      <c r="C354" s="3">
        <v>31</v>
      </c>
      <c r="D354" s="3">
        <v>25</v>
      </c>
      <c r="E354" s="5">
        <f>EnergiaSolar[[#This Row],[Producido]]-EnergiaSolar[[#This Row],[Consumido]]</f>
        <v>6</v>
      </c>
      <c r="F354" s="3">
        <f>EnergiaSolar[[#This Row],[Producido]]-EnergiaSolar[[#This Row],[Consumido]]</f>
        <v>6</v>
      </c>
      <c r="G354" s="5" cm="1">
        <f t="array" ref="G354">EnergiaSolar[[#This Row],[Variante ]]*CostPerKwh[Precio Promedio Kwh]</f>
        <v>1.8599999999999999</v>
      </c>
    </row>
    <row r="355" spans="1:7" x14ac:dyDescent="0.25">
      <c r="A355" s="2">
        <v>45028</v>
      </c>
      <c r="B355">
        <v>3</v>
      </c>
      <c r="C355" s="3">
        <v>33</v>
      </c>
      <c r="D355" s="3">
        <v>27</v>
      </c>
      <c r="E355" s="5">
        <f>EnergiaSolar[[#This Row],[Producido]]-EnergiaSolar[[#This Row],[Consumido]]</f>
        <v>6</v>
      </c>
      <c r="F355" s="3">
        <f>EnergiaSolar[[#This Row],[Producido]]-EnergiaSolar[[#This Row],[Consumido]]</f>
        <v>6</v>
      </c>
      <c r="G355" s="5" cm="1">
        <f t="array" ref="G355">EnergiaSolar[[#This Row],[Variante ]]*CostPerKwh[Precio Promedio Kwh]</f>
        <v>1.8599999999999999</v>
      </c>
    </row>
    <row r="356" spans="1:7" x14ac:dyDescent="0.25">
      <c r="A356" s="2">
        <v>45029</v>
      </c>
      <c r="B356">
        <v>4</v>
      </c>
      <c r="C356" s="3">
        <v>20.7</v>
      </c>
      <c r="D356" s="3">
        <v>23.8</v>
      </c>
      <c r="E356" s="5">
        <f>EnergiaSolar[[#This Row],[Producido]]-EnergiaSolar[[#This Row],[Consumido]]</f>
        <v>-3.1000000000000014</v>
      </c>
      <c r="F356" s="3">
        <f>EnergiaSolar[[#This Row],[Producido]]-EnergiaSolar[[#This Row],[Consumido]]</f>
        <v>-3.1000000000000014</v>
      </c>
      <c r="G356" s="5" cm="1">
        <f t="array" ref="G356">EnergiaSolar[[#This Row],[Variante ]]*CostPerKwh[Precio Promedio Kwh]</f>
        <v>-0.96100000000000041</v>
      </c>
    </row>
    <row r="357" spans="1:7" x14ac:dyDescent="0.25">
      <c r="A357" s="2">
        <v>45030</v>
      </c>
      <c r="B357">
        <v>4</v>
      </c>
      <c r="C357" s="3">
        <v>17.600000000000001</v>
      </c>
      <c r="D357" s="3">
        <v>24.8</v>
      </c>
      <c r="E357" s="5">
        <f>EnergiaSolar[[#This Row],[Producido]]-EnergiaSolar[[#This Row],[Consumido]]</f>
        <v>-7.1999999999999993</v>
      </c>
      <c r="F357" s="3">
        <f>EnergiaSolar[[#This Row],[Producido]]-EnergiaSolar[[#This Row],[Consumido]]</f>
        <v>-7.1999999999999993</v>
      </c>
      <c r="G357" s="5" cm="1">
        <f t="array" ref="G357">EnergiaSolar[[#This Row],[Variante ]]*CostPerKwh[Precio Promedio Kwh]</f>
        <v>-2.2319999999999998</v>
      </c>
    </row>
    <row r="358" spans="1:7" x14ac:dyDescent="0.25">
      <c r="A358" s="2">
        <v>45031</v>
      </c>
      <c r="B358">
        <v>4</v>
      </c>
      <c r="C358" s="3">
        <v>23</v>
      </c>
      <c r="D358" s="3">
        <v>29.3</v>
      </c>
      <c r="E358" s="5">
        <f>EnergiaSolar[[#This Row],[Producido]]-EnergiaSolar[[#This Row],[Consumido]]</f>
        <v>-6.3000000000000007</v>
      </c>
      <c r="F358" s="3">
        <f>EnergiaSolar[[#This Row],[Producido]]-EnergiaSolar[[#This Row],[Consumido]]</f>
        <v>-6.3000000000000007</v>
      </c>
      <c r="G358" s="5" cm="1">
        <f t="array" ref="G358">EnergiaSolar[[#This Row],[Variante ]]*CostPerKwh[Precio Promedio Kwh]</f>
        <v>-1.9530000000000003</v>
      </c>
    </row>
    <row r="359" spans="1:7" x14ac:dyDescent="0.25">
      <c r="A359" s="2">
        <v>45032</v>
      </c>
      <c r="B359">
        <v>4</v>
      </c>
      <c r="C359" s="3">
        <v>20.399999999999999</v>
      </c>
      <c r="D359" s="3">
        <v>25.8</v>
      </c>
      <c r="E359" s="5">
        <f>EnergiaSolar[[#This Row],[Producido]]-EnergiaSolar[[#This Row],[Consumido]]</f>
        <v>-5.4000000000000021</v>
      </c>
      <c r="F359" s="3">
        <f>EnergiaSolar[[#This Row],[Producido]]-EnergiaSolar[[#This Row],[Consumido]]</f>
        <v>-5.4000000000000021</v>
      </c>
      <c r="G359" s="5" cm="1">
        <f t="array" ref="G359">EnergiaSolar[[#This Row],[Variante ]]*CostPerKwh[Precio Promedio Kwh]</f>
        <v>-1.6740000000000006</v>
      </c>
    </row>
    <row r="360" spans="1:7" x14ac:dyDescent="0.25">
      <c r="A360" s="2">
        <v>45033</v>
      </c>
      <c r="B360">
        <v>4</v>
      </c>
      <c r="C360" s="3">
        <v>26.9</v>
      </c>
      <c r="D360" s="3">
        <v>23.1</v>
      </c>
      <c r="E360" s="5">
        <f>EnergiaSolar[[#This Row],[Producido]]-EnergiaSolar[[#This Row],[Consumido]]</f>
        <v>3.7999999999999972</v>
      </c>
      <c r="F360" s="3">
        <f>EnergiaSolar[[#This Row],[Producido]]-EnergiaSolar[[#This Row],[Consumido]]</f>
        <v>3.7999999999999972</v>
      </c>
      <c r="G360" s="5" cm="1">
        <f t="array" ref="G360">EnergiaSolar[[#This Row],[Variante ]]*CostPerKwh[Precio Promedio Kwh]</f>
        <v>1.177999999999999</v>
      </c>
    </row>
    <row r="361" spans="1:7" x14ac:dyDescent="0.25">
      <c r="A361" s="2">
        <v>45034</v>
      </c>
      <c r="B361">
        <v>4</v>
      </c>
      <c r="C361" s="3">
        <v>23.7</v>
      </c>
      <c r="D361" s="3">
        <v>22</v>
      </c>
      <c r="E361" s="5">
        <f>EnergiaSolar[[#This Row],[Producido]]-EnergiaSolar[[#This Row],[Consumido]]</f>
        <v>1.6999999999999993</v>
      </c>
      <c r="F361" s="3">
        <f>EnergiaSolar[[#This Row],[Producido]]-EnergiaSolar[[#This Row],[Consumido]]</f>
        <v>1.6999999999999993</v>
      </c>
      <c r="G361" s="5" cm="1">
        <f t="array" ref="G361">EnergiaSolar[[#This Row],[Variante ]]*CostPerKwh[Precio Promedio Kwh]</f>
        <v>0.5269999999999998</v>
      </c>
    </row>
    <row r="362" spans="1:7" x14ac:dyDescent="0.25">
      <c r="A362" s="2">
        <v>45035</v>
      </c>
      <c r="B362">
        <v>4</v>
      </c>
      <c r="C362" s="3">
        <v>25.3</v>
      </c>
      <c r="D362" s="3">
        <v>25.4</v>
      </c>
      <c r="E362" s="5">
        <f>EnergiaSolar[[#This Row],[Producido]]-EnergiaSolar[[#This Row],[Consumido]]</f>
        <v>-9.9999999999997868E-2</v>
      </c>
      <c r="F362" s="3">
        <f>EnergiaSolar[[#This Row],[Producido]]-EnergiaSolar[[#This Row],[Consumido]]</f>
        <v>-9.9999999999997868E-2</v>
      </c>
      <c r="G362" s="5" cm="1">
        <f t="array" ref="G362">EnergiaSolar[[#This Row],[Variante ]]*CostPerKwh[Precio Promedio Kwh]</f>
        <v>-3.0999999999999341E-2</v>
      </c>
    </row>
    <row r="363" spans="1:7" x14ac:dyDescent="0.25">
      <c r="A363" s="2">
        <v>45036</v>
      </c>
      <c r="B363">
        <v>4</v>
      </c>
      <c r="C363" s="3">
        <v>20.399999999999999</v>
      </c>
      <c r="D363" s="3">
        <v>26.7</v>
      </c>
      <c r="E363" s="5">
        <f>EnergiaSolar[[#This Row],[Producido]]-EnergiaSolar[[#This Row],[Consumido]]</f>
        <v>-6.3000000000000007</v>
      </c>
      <c r="F363" s="3">
        <f>EnergiaSolar[[#This Row],[Producido]]-EnergiaSolar[[#This Row],[Consumido]]</f>
        <v>-6.3000000000000007</v>
      </c>
      <c r="G363" s="5" cm="1">
        <f t="array" ref="G363">EnergiaSolar[[#This Row],[Variante ]]*CostPerKwh[Precio Promedio Kwh]</f>
        <v>-1.9530000000000003</v>
      </c>
    </row>
    <row r="364" spans="1:7" x14ac:dyDescent="0.25">
      <c r="A364" s="2">
        <v>45037</v>
      </c>
      <c r="B364">
        <v>4</v>
      </c>
      <c r="C364" s="3">
        <v>22.9</v>
      </c>
      <c r="D364" s="3">
        <v>24.2</v>
      </c>
      <c r="E364" s="5">
        <f>EnergiaSolar[[#This Row],[Producido]]-EnergiaSolar[[#This Row],[Consumido]]</f>
        <v>-1.3000000000000007</v>
      </c>
      <c r="F364" s="3">
        <f>EnergiaSolar[[#This Row],[Producido]]-EnergiaSolar[[#This Row],[Consumido]]</f>
        <v>-1.3000000000000007</v>
      </c>
      <c r="G364" s="5" cm="1">
        <f t="array" ref="G364">EnergiaSolar[[#This Row],[Variante ]]*CostPerKwh[Precio Promedio Kwh]</f>
        <v>-0.40300000000000019</v>
      </c>
    </row>
    <row r="365" spans="1:7" x14ac:dyDescent="0.25">
      <c r="A365" s="2">
        <v>45038</v>
      </c>
      <c r="B365">
        <v>4</v>
      </c>
      <c r="C365" s="3">
        <v>29.5</v>
      </c>
      <c r="D365" s="3">
        <v>27.5</v>
      </c>
      <c r="E365" s="5">
        <f>EnergiaSolar[[#This Row],[Producido]]-EnergiaSolar[[#This Row],[Consumido]]</f>
        <v>2</v>
      </c>
      <c r="F365" s="3">
        <f>EnergiaSolar[[#This Row],[Producido]]-EnergiaSolar[[#This Row],[Consumido]]</f>
        <v>2</v>
      </c>
      <c r="G365" s="5" cm="1">
        <f t="array" ref="G365">EnergiaSolar[[#This Row],[Variante ]]*CostPerKwh[Precio Promedio Kwh]</f>
        <v>0.62</v>
      </c>
    </row>
    <row r="366" spans="1:7" x14ac:dyDescent="0.25">
      <c r="A366" s="2">
        <v>45039</v>
      </c>
      <c r="B366">
        <v>4</v>
      </c>
      <c r="C366" s="3">
        <v>25.7</v>
      </c>
      <c r="D366" s="3">
        <v>34.1</v>
      </c>
      <c r="E366" s="5">
        <f>EnergiaSolar[[#This Row],[Producido]]-EnergiaSolar[[#This Row],[Consumido]]</f>
        <v>-8.4000000000000021</v>
      </c>
      <c r="F366" s="3">
        <f>EnergiaSolar[[#This Row],[Producido]]-EnergiaSolar[[#This Row],[Consumido]]</f>
        <v>-8.4000000000000021</v>
      </c>
      <c r="G366" s="5" cm="1">
        <f t="array" ref="G366">EnergiaSolar[[#This Row],[Variante ]]*CostPerKwh[Precio Promedio Kwh]</f>
        <v>-2.6040000000000005</v>
      </c>
    </row>
    <row r="367" spans="1:7" x14ac:dyDescent="0.25">
      <c r="A367" s="2">
        <v>45040</v>
      </c>
      <c r="B367">
        <v>4</v>
      </c>
      <c r="C367" s="3">
        <v>34.9</v>
      </c>
      <c r="D367" s="3">
        <v>23.3</v>
      </c>
      <c r="E367" s="5">
        <f>EnergiaSolar[[#This Row],[Producido]]-EnergiaSolar[[#This Row],[Consumido]]</f>
        <v>11.599999999999998</v>
      </c>
      <c r="F367" s="3">
        <f>EnergiaSolar[[#This Row],[Producido]]-EnergiaSolar[[#This Row],[Consumido]]</f>
        <v>11.599999999999998</v>
      </c>
      <c r="G367" s="5" cm="1">
        <f t="array" ref="G367">EnergiaSolar[[#This Row],[Variante ]]*CostPerKwh[Precio Promedio Kwh]</f>
        <v>3.5959999999999992</v>
      </c>
    </row>
    <row r="368" spans="1:7" x14ac:dyDescent="0.25">
      <c r="A368" s="2">
        <v>45041</v>
      </c>
      <c r="B368">
        <v>4</v>
      </c>
      <c r="C368" s="3">
        <v>31.6</v>
      </c>
      <c r="D368" s="3">
        <v>20.2</v>
      </c>
      <c r="E368" s="5">
        <f>EnergiaSolar[[#This Row],[Producido]]-EnergiaSolar[[#This Row],[Consumido]]</f>
        <v>11.400000000000002</v>
      </c>
      <c r="F368" s="3">
        <f>EnergiaSolar[[#This Row],[Producido]]-EnergiaSolar[[#This Row],[Consumido]]</f>
        <v>11.400000000000002</v>
      </c>
      <c r="G368" s="5" cm="1">
        <f t="array" ref="G368">EnergiaSolar[[#This Row],[Variante ]]*CostPerKwh[Precio Promedio Kwh]</f>
        <v>3.5340000000000007</v>
      </c>
    </row>
    <row r="369" spans="1:7" x14ac:dyDescent="0.25">
      <c r="A369" s="2">
        <v>45042</v>
      </c>
      <c r="B369">
        <v>4</v>
      </c>
      <c r="C369" s="3">
        <v>34.4</v>
      </c>
      <c r="D369" s="3">
        <v>23.2</v>
      </c>
      <c r="E369" s="5">
        <f>EnergiaSolar[[#This Row],[Producido]]-EnergiaSolar[[#This Row],[Consumido]]</f>
        <v>11.2</v>
      </c>
      <c r="F369" s="3">
        <f>EnergiaSolar[[#This Row],[Producido]]-EnergiaSolar[[#This Row],[Consumido]]</f>
        <v>11.2</v>
      </c>
      <c r="G369" s="5" cm="1">
        <f t="array" ref="G369">EnergiaSolar[[#This Row],[Variante ]]*CostPerKwh[Precio Promedio Kwh]</f>
        <v>3.472</v>
      </c>
    </row>
    <row r="370" spans="1:7" x14ac:dyDescent="0.25">
      <c r="A370" s="2">
        <v>45043</v>
      </c>
      <c r="B370">
        <v>4</v>
      </c>
      <c r="C370" s="3">
        <v>33.9</v>
      </c>
      <c r="D370" s="3">
        <v>25.3</v>
      </c>
      <c r="E370" s="5">
        <f>EnergiaSolar[[#This Row],[Producido]]-EnergiaSolar[[#This Row],[Consumido]]</f>
        <v>8.5999999999999979</v>
      </c>
      <c r="F370" s="3">
        <f>EnergiaSolar[[#This Row],[Producido]]-EnergiaSolar[[#This Row],[Consumido]]</f>
        <v>8.5999999999999979</v>
      </c>
      <c r="G370" s="5" cm="1">
        <f t="array" ref="G370">EnergiaSolar[[#This Row],[Variante ]]*CostPerKwh[Precio Promedio Kwh]</f>
        <v>2.6659999999999995</v>
      </c>
    </row>
    <row r="371" spans="1:7" x14ac:dyDescent="0.25">
      <c r="A371" s="2">
        <v>45044</v>
      </c>
      <c r="B371">
        <v>4</v>
      </c>
      <c r="C371" s="3">
        <v>31.3</v>
      </c>
      <c r="D371" s="3">
        <v>35.6</v>
      </c>
      <c r="E371" s="5">
        <f>EnergiaSolar[[#This Row],[Producido]]-EnergiaSolar[[#This Row],[Consumido]]</f>
        <v>-4.3000000000000007</v>
      </c>
      <c r="F371" s="3">
        <f>EnergiaSolar[[#This Row],[Producido]]-EnergiaSolar[[#This Row],[Consumido]]</f>
        <v>-4.3000000000000007</v>
      </c>
      <c r="G371" s="5" cm="1">
        <f t="array" ref="G371">EnergiaSolar[[#This Row],[Variante ]]*CostPerKwh[Precio Promedio Kwh]</f>
        <v>-1.3330000000000002</v>
      </c>
    </row>
    <row r="372" spans="1:7" x14ac:dyDescent="0.25">
      <c r="A372" s="2">
        <v>45045</v>
      </c>
      <c r="B372">
        <v>4</v>
      </c>
      <c r="C372" s="3">
        <v>25.4</v>
      </c>
      <c r="D372" s="3">
        <v>31.9</v>
      </c>
      <c r="E372" s="5">
        <f>EnergiaSolar[[#This Row],[Producido]]-EnergiaSolar[[#This Row],[Consumido]]</f>
        <v>-6.5</v>
      </c>
      <c r="F372" s="3">
        <f>EnergiaSolar[[#This Row],[Producido]]-EnergiaSolar[[#This Row],[Consumido]]</f>
        <v>-6.5</v>
      </c>
      <c r="G372" s="5" cm="1">
        <f t="array" ref="G372">EnergiaSolar[[#This Row],[Variante ]]*CostPerKwh[Precio Promedio Kwh]</f>
        <v>-2.0150000000000001</v>
      </c>
    </row>
    <row r="373" spans="1:7" x14ac:dyDescent="0.25">
      <c r="A373" s="2">
        <v>45046</v>
      </c>
      <c r="B373">
        <v>4</v>
      </c>
      <c r="C373" s="3">
        <v>31.9</v>
      </c>
      <c r="D373" s="3">
        <v>32.200000000000003</v>
      </c>
      <c r="E373" s="5">
        <f>EnergiaSolar[[#This Row],[Producido]]-EnergiaSolar[[#This Row],[Consumido]]</f>
        <v>-0.30000000000000426</v>
      </c>
      <c r="F373" s="3">
        <f>EnergiaSolar[[#This Row],[Producido]]-EnergiaSolar[[#This Row],[Consumido]]</f>
        <v>-0.30000000000000426</v>
      </c>
      <c r="G373" s="5" cm="1">
        <f t="array" ref="G373">EnergiaSolar[[#This Row],[Variante ]]*CostPerKwh[Precio Promedio Kwh]</f>
        <v>-9.3000000000001318E-2</v>
      </c>
    </row>
    <row r="374" spans="1:7" x14ac:dyDescent="0.25">
      <c r="A374" s="2">
        <v>45047</v>
      </c>
      <c r="B374">
        <v>4</v>
      </c>
      <c r="C374" s="3">
        <v>33.200000000000003</v>
      </c>
      <c r="D374" s="3">
        <v>31</v>
      </c>
      <c r="E374" s="5">
        <f>EnergiaSolar[[#This Row],[Producido]]-EnergiaSolar[[#This Row],[Consumido]]</f>
        <v>2.2000000000000028</v>
      </c>
      <c r="F374" s="3">
        <f>EnergiaSolar[[#This Row],[Producido]]-EnergiaSolar[[#This Row],[Consumido]]</f>
        <v>2.2000000000000028</v>
      </c>
      <c r="G374" s="5" cm="1">
        <f t="array" ref="G374">EnergiaSolar[[#This Row],[Variante ]]*CostPerKwh[Precio Promedio Kwh]</f>
        <v>0.68200000000000083</v>
      </c>
    </row>
    <row r="375" spans="1:7" x14ac:dyDescent="0.25">
      <c r="A375" s="2">
        <v>45048</v>
      </c>
      <c r="B375">
        <v>4</v>
      </c>
      <c r="C375" s="3">
        <v>31.7</v>
      </c>
      <c r="D375" s="3">
        <v>30.5</v>
      </c>
      <c r="E375" s="5">
        <f>EnergiaSolar[[#This Row],[Producido]]-EnergiaSolar[[#This Row],[Consumido]]</f>
        <v>1.1999999999999993</v>
      </c>
      <c r="F375" s="3">
        <f>EnergiaSolar[[#This Row],[Producido]]-EnergiaSolar[[#This Row],[Consumido]]</f>
        <v>1.1999999999999993</v>
      </c>
      <c r="G375" s="5" cm="1">
        <f t="array" ref="G375">EnergiaSolar[[#This Row],[Variante ]]*CostPerKwh[Precio Promedio Kwh]</f>
        <v>0.37199999999999978</v>
      </c>
    </row>
    <row r="376" spans="1:7" x14ac:dyDescent="0.25">
      <c r="A376" s="2">
        <v>45049</v>
      </c>
      <c r="B376">
        <v>4</v>
      </c>
      <c r="C376" s="3">
        <v>32.4</v>
      </c>
      <c r="D376" s="3">
        <v>35</v>
      </c>
      <c r="E376" s="5">
        <f>EnergiaSolar[[#This Row],[Producido]]-EnergiaSolar[[#This Row],[Consumido]]</f>
        <v>-2.6000000000000014</v>
      </c>
      <c r="F376" s="3">
        <f>EnergiaSolar[[#This Row],[Producido]]-EnergiaSolar[[#This Row],[Consumido]]</f>
        <v>-2.6000000000000014</v>
      </c>
      <c r="G376" s="5" cm="1">
        <f t="array" ref="G376">EnergiaSolar[[#This Row],[Variante ]]*CostPerKwh[Precio Promedio Kwh]</f>
        <v>-0.80600000000000038</v>
      </c>
    </row>
    <row r="377" spans="1:7" x14ac:dyDescent="0.25">
      <c r="A377" s="2">
        <v>45050</v>
      </c>
      <c r="B377">
        <v>4</v>
      </c>
      <c r="C377" s="3">
        <v>32.799999999999997</v>
      </c>
      <c r="D377" s="3">
        <v>31.5</v>
      </c>
      <c r="E377" s="5">
        <f>EnergiaSolar[[#This Row],[Producido]]-EnergiaSolar[[#This Row],[Consumido]]</f>
        <v>1.2999999999999972</v>
      </c>
      <c r="F377" s="3">
        <f>EnergiaSolar[[#This Row],[Producido]]-EnergiaSolar[[#This Row],[Consumido]]</f>
        <v>1.2999999999999972</v>
      </c>
      <c r="G377" s="5" cm="1">
        <f t="array" ref="G377">EnergiaSolar[[#This Row],[Variante ]]*CostPerKwh[Precio Promedio Kwh]</f>
        <v>0.40299999999999914</v>
      </c>
    </row>
    <row r="378" spans="1:7" x14ac:dyDescent="0.25">
      <c r="A378" s="2">
        <v>45051</v>
      </c>
      <c r="B378">
        <v>4</v>
      </c>
      <c r="C378" s="3">
        <v>22.5</v>
      </c>
      <c r="D378" s="3">
        <v>33.6</v>
      </c>
      <c r="E378" s="5">
        <f>EnergiaSolar[[#This Row],[Producido]]-EnergiaSolar[[#This Row],[Consumido]]</f>
        <v>-11.100000000000001</v>
      </c>
      <c r="F378" s="3">
        <f>EnergiaSolar[[#This Row],[Producido]]-EnergiaSolar[[#This Row],[Consumido]]</f>
        <v>-11.100000000000001</v>
      </c>
      <c r="G378" s="5" cm="1">
        <f t="array" ref="G378">EnergiaSolar[[#This Row],[Variante ]]*CostPerKwh[Precio Promedio Kwh]</f>
        <v>-3.4410000000000003</v>
      </c>
    </row>
    <row r="379" spans="1:7" x14ac:dyDescent="0.25">
      <c r="A379" s="2">
        <v>45052</v>
      </c>
      <c r="B379">
        <v>4</v>
      </c>
      <c r="C379" s="3">
        <v>34.9</v>
      </c>
      <c r="D379" s="3">
        <v>32.200000000000003</v>
      </c>
      <c r="E379" s="5">
        <f>EnergiaSolar[[#This Row],[Producido]]-EnergiaSolar[[#This Row],[Consumido]]</f>
        <v>2.6999999999999957</v>
      </c>
      <c r="F379" s="3">
        <f>EnergiaSolar[[#This Row],[Producido]]-EnergiaSolar[[#This Row],[Consumido]]</f>
        <v>2.6999999999999957</v>
      </c>
      <c r="G379" s="5" cm="1">
        <f t="array" ref="G379">EnergiaSolar[[#This Row],[Variante ]]*CostPerKwh[Precio Promedio Kwh]</f>
        <v>0.83699999999999863</v>
      </c>
    </row>
    <row r="380" spans="1:7" x14ac:dyDescent="0.25">
      <c r="A380" s="2">
        <v>45053</v>
      </c>
      <c r="B380">
        <v>4</v>
      </c>
      <c r="C380" s="3">
        <v>31.6</v>
      </c>
      <c r="D380" s="3">
        <v>38.6</v>
      </c>
      <c r="E380" s="5">
        <f>EnergiaSolar[[#This Row],[Producido]]-EnergiaSolar[[#This Row],[Consumido]]</f>
        <v>-7</v>
      </c>
      <c r="F380" s="3">
        <f>EnergiaSolar[[#This Row],[Producido]]-EnergiaSolar[[#This Row],[Consumido]]</f>
        <v>-7</v>
      </c>
      <c r="G380" s="5" cm="1">
        <f t="array" ref="G380">EnergiaSolar[[#This Row],[Variante ]]*CostPerKwh[Precio Promedio Kwh]</f>
        <v>-2.17</v>
      </c>
    </row>
    <row r="381" spans="1:7" x14ac:dyDescent="0.25">
      <c r="A381" s="2">
        <v>45054</v>
      </c>
      <c r="B381">
        <v>4</v>
      </c>
      <c r="C381" s="3">
        <v>27</v>
      </c>
      <c r="D381" s="3">
        <v>28.7</v>
      </c>
      <c r="E381" s="5">
        <f>EnergiaSolar[[#This Row],[Producido]]-EnergiaSolar[[#This Row],[Consumido]]</f>
        <v>-1.6999999999999993</v>
      </c>
      <c r="F381" s="3">
        <f>EnergiaSolar[[#This Row],[Producido]]-EnergiaSolar[[#This Row],[Consumido]]</f>
        <v>-1.6999999999999993</v>
      </c>
      <c r="G381" s="5" cm="1">
        <f t="array" ref="G381">EnergiaSolar[[#This Row],[Variante ]]*CostPerKwh[Precio Promedio Kwh]</f>
        <v>-0.5269999999999998</v>
      </c>
    </row>
    <row r="382" spans="1:7" x14ac:dyDescent="0.25">
      <c r="A382" s="2">
        <v>45055</v>
      </c>
      <c r="B382">
        <v>4</v>
      </c>
      <c r="C382" s="3">
        <v>31.9</v>
      </c>
      <c r="D382" s="3">
        <v>29.2</v>
      </c>
      <c r="E382" s="5">
        <f>EnergiaSolar[[#This Row],[Producido]]-EnergiaSolar[[#This Row],[Consumido]]</f>
        <v>2.6999999999999993</v>
      </c>
      <c r="F382" s="3">
        <f>EnergiaSolar[[#This Row],[Producido]]-EnergiaSolar[[#This Row],[Consumido]]</f>
        <v>2.6999999999999993</v>
      </c>
      <c r="G382" s="5" cm="1">
        <f t="array" ref="G382">EnergiaSolar[[#This Row],[Variante ]]*CostPerKwh[Precio Promedio Kwh]</f>
        <v>0.83699999999999974</v>
      </c>
    </row>
    <row r="383" spans="1:7" x14ac:dyDescent="0.25">
      <c r="A383" s="2">
        <v>45056</v>
      </c>
      <c r="B383">
        <v>4</v>
      </c>
      <c r="C383" s="3">
        <v>31</v>
      </c>
      <c r="D383" s="3">
        <v>36.200000000000003</v>
      </c>
      <c r="E383" s="5">
        <f>EnergiaSolar[[#This Row],[Producido]]-EnergiaSolar[[#This Row],[Consumido]]</f>
        <v>-5.2000000000000028</v>
      </c>
      <c r="F383" s="3">
        <f>EnergiaSolar[[#This Row],[Producido]]-EnergiaSolar[[#This Row],[Consumido]]</f>
        <v>-5.2000000000000028</v>
      </c>
      <c r="G383" s="5" cm="1">
        <f t="array" ref="G383">EnergiaSolar[[#This Row],[Variante ]]*CostPerKwh[Precio Promedio Kwh]</f>
        <v>-1.6120000000000008</v>
      </c>
    </row>
    <row r="384" spans="1:7" x14ac:dyDescent="0.25">
      <c r="A384" s="2">
        <v>45057</v>
      </c>
      <c r="B384">
        <v>4</v>
      </c>
      <c r="C384" s="3">
        <v>33.1</v>
      </c>
      <c r="D384" s="3">
        <v>28.2</v>
      </c>
      <c r="E384" s="5">
        <f>EnergiaSolar[[#This Row],[Producido]]-EnergiaSolar[[#This Row],[Consumido]]</f>
        <v>4.9000000000000021</v>
      </c>
      <c r="F384" s="3">
        <f>EnergiaSolar[[#This Row],[Producido]]-EnergiaSolar[[#This Row],[Consumido]]</f>
        <v>4.9000000000000021</v>
      </c>
      <c r="G384" s="5" cm="1">
        <f t="array" ref="G384">EnergiaSolar[[#This Row],[Variante ]]*CostPerKwh[Precio Promedio Kwh]</f>
        <v>1.5190000000000006</v>
      </c>
    </row>
    <row r="385" spans="1:7" x14ac:dyDescent="0.25">
      <c r="A385" s="2">
        <v>45058</v>
      </c>
      <c r="B385">
        <v>4</v>
      </c>
      <c r="C385" s="3">
        <v>25.5</v>
      </c>
      <c r="D385" s="3">
        <v>32.200000000000003</v>
      </c>
      <c r="E385" s="5">
        <f>EnergiaSolar[[#This Row],[Producido]]-EnergiaSolar[[#This Row],[Consumido]]</f>
        <v>-6.7000000000000028</v>
      </c>
      <c r="F385" s="3">
        <f>EnergiaSolar[[#This Row],[Producido]]-EnergiaSolar[[#This Row],[Consumido]]</f>
        <v>-6.7000000000000028</v>
      </c>
      <c r="G385" s="5" cm="1">
        <f t="array" ref="G385">EnergiaSolar[[#This Row],[Variante ]]*CostPerKwh[Precio Promedio Kwh]</f>
        <v>-2.0770000000000008</v>
      </c>
    </row>
    <row r="386" spans="1:7" x14ac:dyDescent="0.25">
      <c r="A386" s="2">
        <v>45059</v>
      </c>
      <c r="B386">
        <v>5</v>
      </c>
      <c r="C386" s="3">
        <v>19.8</v>
      </c>
      <c r="D386" s="3">
        <v>33</v>
      </c>
      <c r="E386" s="5">
        <f>EnergiaSolar[[#This Row],[Producido]]-EnergiaSolar[[#This Row],[Consumido]]</f>
        <v>-13.2</v>
      </c>
      <c r="F386" s="3">
        <f>EnergiaSolar[[#This Row],[Producido]]-EnergiaSolar[[#This Row],[Consumido]]</f>
        <v>-13.2</v>
      </c>
      <c r="G386" s="5" cm="1">
        <f t="array" ref="G386">EnergiaSolar[[#This Row],[Variante ]]*CostPerKwh[Precio Promedio Kwh]</f>
        <v>-4.0919999999999996</v>
      </c>
    </row>
    <row r="387" spans="1:7" x14ac:dyDescent="0.25">
      <c r="A387" s="2">
        <v>45060</v>
      </c>
      <c r="B387">
        <v>5</v>
      </c>
      <c r="C387" s="3">
        <v>22.6</v>
      </c>
      <c r="D387" s="3">
        <v>22.8</v>
      </c>
      <c r="E387" s="5">
        <f>EnergiaSolar[[#This Row],[Producido]]-EnergiaSolar[[#This Row],[Consumido]]</f>
        <v>-0.19999999999999929</v>
      </c>
      <c r="F387" s="3">
        <f>EnergiaSolar[[#This Row],[Producido]]-EnergiaSolar[[#This Row],[Consumido]]</f>
        <v>-0.19999999999999929</v>
      </c>
      <c r="G387" s="5" cm="1">
        <f t="array" ref="G387">EnergiaSolar[[#This Row],[Variante ]]*CostPerKwh[Precio Promedio Kwh]</f>
        <v>-6.1999999999999778E-2</v>
      </c>
    </row>
    <row r="388" spans="1:7" x14ac:dyDescent="0.25">
      <c r="A388" s="2">
        <v>45061</v>
      </c>
      <c r="B388">
        <v>5</v>
      </c>
      <c r="C388" s="3">
        <v>34</v>
      </c>
      <c r="D388" s="3">
        <v>24.2</v>
      </c>
      <c r="E388" s="5">
        <f>EnergiaSolar[[#This Row],[Producido]]-EnergiaSolar[[#This Row],[Consumido]]</f>
        <v>9.8000000000000007</v>
      </c>
      <c r="F388" s="3">
        <f>EnergiaSolar[[#This Row],[Producido]]-EnergiaSolar[[#This Row],[Consumido]]</f>
        <v>9.8000000000000007</v>
      </c>
      <c r="G388" s="5" cm="1">
        <f t="array" ref="G388">EnergiaSolar[[#This Row],[Variante ]]*CostPerKwh[Precio Promedio Kwh]</f>
        <v>3.0380000000000003</v>
      </c>
    </row>
    <row r="389" spans="1:7" x14ac:dyDescent="0.25">
      <c r="A389" s="2">
        <v>45062</v>
      </c>
      <c r="B389">
        <v>5</v>
      </c>
      <c r="C389" s="3">
        <v>33.5</v>
      </c>
      <c r="D389" s="3">
        <v>27.6</v>
      </c>
      <c r="E389" s="5">
        <f>EnergiaSolar[[#This Row],[Producido]]-EnergiaSolar[[#This Row],[Consumido]]</f>
        <v>5.8999999999999986</v>
      </c>
      <c r="F389" s="3">
        <f>EnergiaSolar[[#This Row],[Producido]]-EnergiaSolar[[#This Row],[Consumido]]</f>
        <v>5.8999999999999986</v>
      </c>
      <c r="G389" s="5" cm="1">
        <f t="array" ref="G389">EnergiaSolar[[#This Row],[Variante ]]*CostPerKwh[Precio Promedio Kwh]</f>
        <v>1.8289999999999995</v>
      </c>
    </row>
    <row r="390" spans="1:7" x14ac:dyDescent="0.25">
      <c r="A390" s="2">
        <v>45063</v>
      </c>
      <c r="B390">
        <v>5</v>
      </c>
      <c r="C390" s="3">
        <v>25.3</v>
      </c>
      <c r="D390" s="3">
        <v>32.9</v>
      </c>
      <c r="E390" s="5">
        <f>EnergiaSolar[[#This Row],[Producido]]-EnergiaSolar[[#This Row],[Consumido]]</f>
        <v>-7.5999999999999979</v>
      </c>
      <c r="F390" s="3">
        <f>EnergiaSolar[[#This Row],[Producido]]-EnergiaSolar[[#This Row],[Consumido]]</f>
        <v>-7.5999999999999979</v>
      </c>
      <c r="G390" s="5" cm="1">
        <f t="array" ref="G390">EnergiaSolar[[#This Row],[Variante ]]*CostPerKwh[Precio Promedio Kwh]</f>
        <v>-2.3559999999999994</v>
      </c>
    </row>
    <row r="391" spans="1:7" x14ac:dyDescent="0.25">
      <c r="A391" s="2">
        <v>45064</v>
      </c>
      <c r="B391">
        <v>5</v>
      </c>
      <c r="C391" s="3">
        <v>26</v>
      </c>
      <c r="D391" s="3">
        <v>31.1</v>
      </c>
      <c r="E391" s="5">
        <f>EnergiaSolar[[#This Row],[Producido]]-EnergiaSolar[[#This Row],[Consumido]]</f>
        <v>-5.1000000000000014</v>
      </c>
      <c r="F391" s="3">
        <f>EnergiaSolar[[#This Row],[Producido]]-EnergiaSolar[[#This Row],[Consumido]]</f>
        <v>-5.1000000000000014</v>
      </c>
      <c r="G391" s="5" cm="1">
        <f t="array" ref="G391">EnergiaSolar[[#This Row],[Variante ]]*CostPerKwh[Precio Promedio Kwh]</f>
        <v>-1.5810000000000004</v>
      </c>
    </row>
    <row r="392" spans="1:7" x14ac:dyDescent="0.25">
      <c r="A392" s="2">
        <v>45065</v>
      </c>
      <c r="B392">
        <v>5</v>
      </c>
      <c r="C392" s="3">
        <v>21.2</v>
      </c>
      <c r="D392" s="3">
        <v>30.1</v>
      </c>
      <c r="E392" s="5">
        <f>EnergiaSolar[[#This Row],[Producido]]-EnergiaSolar[[#This Row],[Consumido]]</f>
        <v>-8.9000000000000021</v>
      </c>
      <c r="F392" s="3">
        <f>EnergiaSolar[[#This Row],[Producido]]-EnergiaSolar[[#This Row],[Consumido]]</f>
        <v>-8.9000000000000021</v>
      </c>
      <c r="G392" s="5" cm="1">
        <f t="array" ref="G392">EnergiaSolar[[#This Row],[Variante ]]*CostPerKwh[Precio Promedio Kwh]</f>
        <v>-2.7590000000000008</v>
      </c>
    </row>
    <row r="393" spans="1:7" x14ac:dyDescent="0.25">
      <c r="A393" s="2">
        <v>45066</v>
      </c>
      <c r="B393">
        <v>5</v>
      </c>
      <c r="C393" s="3">
        <v>21.5</v>
      </c>
      <c r="D393" s="3">
        <v>28.7</v>
      </c>
      <c r="E393" s="5">
        <f>EnergiaSolar[[#This Row],[Producido]]-EnergiaSolar[[#This Row],[Consumido]]</f>
        <v>-7.1999999999999993</v>
      </c>
      <c r="F393" s="3">
        <f>EnergiaSolar[[#This Row],[Producido]]-EnergiaSolar[[#This Row],[Consumido]]</f>
        <v>-7.1999999999999993</v>
      </c>
      <c r="G393" s="5" cm="1">
        <f t="array" ref="G393">EnergiaSolar[[#This Row],[Variante ]]*CostPerKwh[Precio Promedio Kwh]</f>
        <v>-2.2319999999999998</v>
      </c>
    </row>
    <row r="394" spans="1:7" x14ac:dyDescent="0.25">
      <c r="A394" s="2">
        <v>45067</v>
      </c>
      <c r="B394">
        <v>5</v>
      </c>
      <c r="C394" s="3">
        <v>21.6</v>
      </c>
      <c r="D394" s="3">
        <v>29.6</v>
      </c>
      <c r="E394" s="5">
        <f>EnergiaSolar[[#This Row],[Producido]]-EnergiaSolar[[#This Row],[Consumido]]</f>
        <v>-8</v>
      </c>
      <c r="F394" s="3">
        <f>EnergiaSolar[[#This Row],[Producido]]-EnergiaSolar[[#This Row],[Consumido]]</f>
        <v>-8</v>
      </c>
      <c r="G394" s="5" cm="1">
        <f t="array" ref="G394">EnergiaSolar[[#This Row],[Variante ]]*CostPerKwh[Precio Promedio Kwh]</f>
        <v>-2.48</v>
      </c>
    </row>
    <row r="395" spans="1:7" x14ac:dyDescent="0.25">
      <c r="A395" s="2">
        <v>45068</v>
      </c>
      <c r="B395">
        <v>5</v>
      </c>
      <c r="C395" s="3">
        <v>21.9</v>
      </c>
      <c r="D395" s="3">
        <v>29.1</v>
      </c>
      <c r="E395" s="5">
        <f>EnergiaSolar[[#This Row],[Producido]]-EnergiaSolar[[#This Row],[Consumido]]</f>
        <v>-7.2000000000000028</v>
      </c>
      <c r="F395" s="3">
        <f>EnergiaSolar[[#This Row],[Producido]]-EnergiaSolar[[#This Row],[Consumido]]</f>
        <v>-7.2000000000000028</v>
      </c>
      <c r="G395" s="5" cm="1">
        <f t="array" ref="G395">EnergiaSolar[[#This Row],[Variante ]]*CostPerKwh[Precio Promedio Kwh]</f>
        <v>-2.2320000000000007</v>
      </c>
    </row>
    <row r="396" spans="1:7" x14ac:dyDescent="0.25">
      <c r="A396" s="2">
        <v>45069</v>
      </c>
      <c r="B396">
        <v>5</v>
      </c>
      <c r="C396" s="3">
        <v>25.1</v>
      </c>
      <c r="D396" s="3">
        <v>26.3</v>
      </c>
      <c r="E396" s="5">
        <f>EnergiaSolar[[#This Row],[Producido]]-EnergiaSolar[[#This Row],[Consumido]]</f>
        <v>-1.1999999999999993</v>
      </c>
      <c r="F396" s="3">
        <f>EnergiaSolar[[#This Row],[Producido]]-EnergiaSolar[[#This Row],[Consumido]]</f>
        <v>-1.1999999999999993</v>
      </c>
      <c r="G396" s="5" cm="1">
        <f t="array" ref="G396">EnergiaSolar[[#This Row],[Variante ]]*CostPerKwh[Precio Promedio Kwh]</f>
        <v>-0.37199999999999978</v>
      </c>
    </row>
    <row r="397" spans="1:7" x14ac:dyDescent="0.25">
      <c r="A397" s="2">
        <v>45070</v>
      </c>
      <c r="B397">
        <v>5</v>
      </c>
      <c r="C397" s="3">
        <v>27.5</v>
      </c>
      <c r="D397" s="3">
        <v>28.3</v>
      </c>
      <c r="E397" s="5">
        <f>EnergiaSolar[[#This Row],[Producido]]-EnergiaSolar[[#This Row],[Consumido]]</f>
        <v>-0.80000000000000071</v>
      </c>
      <c r="F397" s="3">
        <f>EnergiaSolar[[#This Row],[Producido]]-EnergiaSolar[[#This Row],[Consumido]]</f>
        <v>-0.80000000000000071</v>
      </c>
      <c r="G397" s="5" cm="1">
        <f t="array" ref="G397">EnergiaSolar[[#This Row],[Variante ]]*CostPerKwh[Precio Promedio Kwh]</f>
        <v>-0.24800000000000022</v>
      </c>
    </row>
    <row r="398" spans="1:7" x14ac:dyDescent="0.25">
      <c r="A398" s="2">
        <v>45071</v>
      </c>
      <c r="B398">
        <v>5</v>
      </c>
      <c r="C398" s="3">
        <v>22.3</v>
      </c>
      <c r="D398" s="3">
        <v>38.1</v>
      </c>
      <c r="E398" s="5">
        <f>EnergiaSolar[[#This Row],[Producido]]-EnergiaSolar[[#This Row],[Consumido]]</f>
        <v>-15.8</v>
      </c>
      <c r="F398" s="3">
        <f>EnergiaSolar[[#This Row],[Producido]]-EnergiaSolar[[#This Row],[Consumido]]</f>
        <v>-15.8</v>
      </c>
      <c r="G398" s="5" cm="1">
        <f t="array" ref="G398">EnergiaSolar[[#This Row],[Variante ]]*CostPerKwh[Precio Promedio Kwh]</f>
        <v>-4.8980000000000006</v>
      </c>
    </row>
    <row r="399" spans="1:7" x14ac:dyDescent="0.25">
      <c r="A399" s="2">
        <v>45072</v>
      </c>
      <c r="B399">
        <v>5</v>
      </c>
      <c r="C399" s="3">
        <v>25.3</v>
      </c>
      <c r="D399" s="3">
        <v>31.7</v>
      </c>
      <c r="E399" s="5">
        <f>EnergiaSolar[[#This Row],[Producido]]-EnergiaSolar[[#This Row],[Consumido]]</f>
        <v>-6.3999999999999986</v>
      </c>
      <c r="F399" s="3">
        <f>EnergiaSolar[[#This Row],[Producido]]-EnergiaSolar[[#This Row],[Consumido]]</f>
        <v>-6.3999999999999986</v>
      </c>
      <c r="G399" s="5" cm="1">
        <f t="array" ref="G399">EnergiaSolar[[#This Row],[Variante ]]*CostPerKwh[Precio Promedio Kwh]</f>
        <v>-1.9839999999999995</v>
      </c>
    </row>
    <row r="400" spans="1:7" x14ac:dyDescent="0.25">
      <c r="A400" s="2">
        <v>45073</v>
      </c>
      <c r="B400">
        <v>5</v>
      </c>
      <c r="C400" s="3">
        <v>26.8</v>
      </c>
      <c r="D400" s="3">
        <v>36.299999999999997</v>
      </c>
      <c r="E400" s="5">
        <f>EnergiaSolar[[#This Row],[Producido]]-EnergiaSolar[[#This Row],[Consumido]]</f>
        <v>-9.4999999999999964</v>
      </c>
      <c r="F400" s="3">
        <f>EnergiaSolar[[#This Row],[Producido]]-EnergiaSolar[[#This Row],[Consumido]]</f>
        <v>-9.4999999999999964</v>
      </c>
      <c r="G400" s="5" cm="1">
        <f t="array" ref="G400">EnergiaSolar[[#This Row],[Variante ]]*CostPerKwh[Precio Promedio Kwh]</f>
        <v>-2.944999999999999</v>
      </c>
    </row>
    <row r="401" spans="1:7" x14ac:dyDescent="0.25">
      <c r="A401" s="2">
        <v>45074</v>
      </c>
      <c r="B401">
        <v>5</v>
      </c>
      <c r="C401" s="3">
        <v>16.5</v>
      </c>
      <c r="D401" s="3">
        <v>35.9</v>
      </c>
      <c r="E401" s="5">
        <f>EnergiaSolar[[#This Row],[Producido]]-EnergiaSolar[[#This Row],[Consumido]]</f>
        <v>-19.399999999999999</v>
      </c>
      <c r="F401" s="3">
        <f>EnergiaSolar[[#This Row],[Producido]]-EnergiaSolar[[#This Row],[Consumido]]</f>
        <v>-19.399999999999999</v>
      </c>
      <c r="G401" s="5" cm="1">
        <f t="array" ref="G401">EnergiaSolar[[#This Row],[Variante ]]*CostPerKwh[Precio Promedio Kwh]</f>
        <v>-6.0139999999999993</v>
      </c>
    </row>
    <row r="402" spans="1:7" x14ac:dyDescent="0.25">
      <c r="A402" s="2">
        <v>45075</v>
      </c>
      <c r="B402">
        <v>5</v>
      </c>
      <c r="C402" s="3">
        <v>31.6</v>
      </c>
      <c r="D402" s="3">
        <v>39</v>
      </c>
      <c r="E402" s="5">
        <f>EnergiaSolar[[#This Row],[Producido]]-EnergiaSolar[[#This Row],[Consumido]]</f>
        <v>-7.3999999999999986</v>
      </c>
      <c r="F402" s="3">
        <f>EnergiaSolar[[#This Row],[Producido]]-EnergiaSolar[[#This Row],[Consumido]]</f>
        <v>-7.3999999999999986</v>
      </c>
      <c r="G402" s="5" cm="1">
        <f t="array" ref="G402">EnergiaSolar[[#This Row],[Variante ]]*CostPerKwh[Precio Promedio Kwh]</f>
        <v>-2.2939999999999996</v>
      </c>
    </row>
    <row r="403" spans="1:7" x14ac:dyDescent="0.25">
      <c r="A403" s="2">
        <v>45076</v>
      </c>
      <c r="B403">
        <v>5</v>
      </c>
      <c r="C403" s="3">
        <v>24.9</v>
      </c>
      <c r="D403" s="3">
        <v>31.9</v>
      </c>
      <c r="E403" s="5">
        <f>EnergiaSolar[[#This Row],[Producido]]-EnergiaSolar[[#This Row],[Consumido]]</f>
        <v>-7</v>
      </c>
      <c r="F403" s="3">
        <f>EnergiaSolar[[#This Row],[Producido]]-EnergiaSolar[[#This Row],[Consumido]]</f>
        <v>-7</v>
      </c>
      <c r="G403" s="5" cm="1">
        <f t="array" ref="G403">EnergiaSolar[[#This Row],[Variante ]]*CostPerKwh[Precio Promedio Kwh]</f>
        <v>-2.17</v>
      </c>
    </row>
    <row r="404" spans="1:7" x14ac:dyDescent="0.25">
      <c r="A404" s="2">
        <v>45077</v>
      </c>
      <c r="B404">
        <v>5</v>
      </c>
      <c r="C404" s="3">
        <v>28.2</v>
      </c>
      <c r="D404" s="3">
        <v>31.5</v>
      </c>
      <c r="E404" s="5">
        <f>EnergiaSolar[[#This Row],[Producido]]-EnergiaSolar[[#This Row],[Consumido]]</f>
        <v>-3.3000000000000007</v>
      </c>
      <c r="F404" s="3">
        <f>EnergiaSolar[[#This Row],[Producido]]-EnergiaSolar[[#This Row],[Consumido]]</f>
        <v>-3.3000000000000007</v>
      </c>
      <c r="G404" s="5" cm="1">
        <f t="array" ref="G404">EnergiaSolar[[#This Row],[Variante ]]*CostPerKwh[Precio Promedio Kwh]</f>
        <v>-1.0230000000000001</v>
      </c>
    </row>
    <row r="405" spans="1:7" x14ac:dyDescent="0.25">
      <c r="A405" s="2">
        <v>45078</v>
      </c>
      <c r="B405">
        <v>5</v>
      </c>
      <c r="C405" s="3">
        <v>28</v>
      </c>
      <c r="D405" s="3">
        <v>45.2</v>
      </c>
      <c r="E405" s="5">
        <f>EnergiaSolar[[#This Row],[Producido]]-EnergiaSolar[[#This Row],[Consumido]]</f>
        <v>-17.200000000000003</v>
      </c>
      <c r="F405" s="3">
        <f>EnergiaSolar[[#This Row],[Producido]]-EnergiaSolar[[#This Row],[Consumido]]</f>
        <v>-17.200000000000003</v>
      </c>
      <c r="G405" s="5" cm="1">
        <f t="array" ref="G405">EnergiaSolar[[#This Row],[Variante ]]*CostPerKwh[Precio Promedio Kwh]</f>
        <v>-5.3320000000000007</v>
      </c>
    </row>
    <row r="406" spans="1:7" x14ac:dyDescent="0.25">
      <c r="A406" s="2">
        <v>45079</v>
      </c>
      <c r="B406">
        <v>5</v>
      </c>
      <c r="C406" s="3">
        <v>23.7</v>
      </c>
      <c r="D406" s="3">
        <v>42</v>
      </c>
      <c r="E406" s="5">
        <f>EnergiaSolar[[#This Row],[Producido]]-EnergiaSolar[[#This Row],[Consumido]]</f>
        <v>-18.3</v>
      </c>
      <c r="F406" s="3">
        <f>EnergiaSolar[[#This Row],[Producido]]-EnergiaSolar[[#This Row],[Consumido]]</f>
        <v>-18.3</v>
      </c>
      <c r="G406" s="5" cm="1">
        <f t="array" ref="G406">EnergiaSolar[[#This Row],[Variante ]]*CostPerKwh[Precio Promedio Kwh]</f>
        <v>-5.673</v>
      </c>
    </row>
    <row r="407" spans="1:7" x14ac:dyDescent="0.25">
      <c r="A407" s="2">
        <v>45080</v>
      </c>
      <c r="B407">
        <v>5</v>
      </c>
      <c r="C407" s="3">
        <v>30.7</v>
      </c>
      <c r="D407" s="3">
        <v>33.700000000000003</v>
      </c>
      <c r="E407" s="5">
        <f>EnergiaSolar[[#This Row],[Producido]]-EnergiaSolar[[#This Row],[Consumido]]</f>
        <v>-3.0000000000000036</v>
      </c>
      <c r="F407" s="3">
        <f>EnergiaSolar[[#This Row],[Producido]]-EnergiaSolar[[#This Row],[Consumido]]</f>
        <v>-3.0000000000000036</v>
      </c>
      <c r="G407" s="5" cm="1">
        <f t="array" ref="G407">EnergiaSolar[[#This Row],[Variante ]]*CostPerKwh[Precio Promedio Kwh]</f>
        <v>-0.93000000000000105</v>
      </c>
    </row>
    <row r="408" spans="1:7" x14ac:dyDescent="0.25">
      <c r="A408" s="2">
        <v>45081</v>
      </c>
      <c r="B408">
        <v>5</v>
      </c>
      <c r="C408" s="3">
        <v>30.1</v>
      </c>
      <c r="D408" s="3">
        <v>34.5</v>
      </c>
      <c r="E408" s="5">
        <f>EnergiaSolar[[#This Row],[Producido]]-EnergiaSolar[[#This Row],[Consumido]]</f>
        <v>-4.3999999999999986</v>
      </c>
      <c r="F408" s="3">
        <f>EnergiaSolar[[#This Row],[Producido]]-EnergiaSolar[[#This Row],[Consumido]]</f>
        <v>-4.3999999999999986</v>
      </c>
      <c r="G408" s="5" cm="1">
        <f t="array" ref="G408">EnergiaSolar[[#This Row],[Variante ]]*CostPerKwh[Precio Promedio Kwh]</f>
        <v>-1.3639999999999997</v>
      </c>
    </row>
    <row r="409" spans="1:7" x14ac:dyDescent="0.25">
      <c r="A409" s="2">
        <v>45082</v>
      </c>
      <c r="B409">
        <v>5</v>
      </c>
      <c r="C409" s="3">
        <v>32.299999999999997</v>
      </c>
      <c r="D409" s="3">
        <v>40.700000000000003</v>
      </c>
      <c r="E409" s="5">
        <f>EnergiaSolar[[#This Row],[Producido]]-EnergiaSolar[[#This Row],[Consumido]]</f>
        <v>-8.4000000000000057</v>
      </c>
      <c r="F409" s="3">
        <f>EnergiaSolar[[#This Row],[Producido]]-EnergiaSolar[[#This Row],[Consumido]]</f>
        <v>-8.4000000000000057</v>
      </c>
      <c r="G409" s="5" cm="1">
        <f t="array" ref="G409">EnergiaSolar[[#This Row],[Variante ]]*CostPerKwh[Precio Promedio Kwh]</f>
        <v>-2.6040000000000019</v>
      </c>
    </row>
    <row r="410" spans="1:7" x14ac:dyDescent="0.25">
      <c r="A410" s="2">
        <v>45083</v>
      </c>
      <c r="B410">
        <v>5</v>
      </c>
      <c r="C410" s="3">
        <v>31.6</v>
      </c>
      <c r="D410" s="3">
        <v>35.1</v>
      </c>
      <c r="E410" s="5">
        <f>EnergiaSolar[[#This Row],[Producido]]-EnergiaSolar[[#This Row],[Consumido]]</f>
        <v>-3.5</v>
      </c>
      <c r="F410" s="3">
        <f>EnergiaSolar[[#This Row],[Producido]]-EnergiaSolar[[#This Row],[Consumido]]</f>
        <v>-3.5</v>
      </c>
      <c r="G410" s="5" cm="1">
        <f t="array" ref="G410">EnergiaSolar[[#This Row],[Variante ]]*CostPerKwh[Precio Promedio Kwh]</f>
        <v>-1.085</v>
      </c>
    </row>
    <row r="411" spans="1:7" x14ac:dyDescent="0.25">
      <c r="A411" s="2">
        <v>45084</v>
      </c>
      <c r="B411">
        <v>5</v>
      </c>
      <c r="C411" s="3">
        <v>27.9</v>
      </c>
      <c r="D411" s="3">
        <v>32.6</v>
      </c>
      <c r="E411" s="5">
        <f>EnergiaSolar[[#This Row],[Producido]]-EnergiaSolar[[#This Row],[Consumido]]</f>
        <v>-4.7000000000000028</v>
      </c>
      <c r="F411" s="3">
        <f>EnergiaSolar[[#This Row],[Producido]]-EnergiaSolar[[#This Row],[Consumido]]</f>
        <v>-4.7000000000000028</v>
      </c>
      <c r="G411" s="5" cm="1">
        <f t="array" ref="G411">EnergiaSolar[[#This Row],[Variante ]]*CostPerKwh[Precio Promedio Kwh]</f>
        <v>-1.457000000000001</v>
      </c>
    </row>
    <row r="412" spans="1:7" x14ac:dyDescent="0.25">
      <c r="A412" s="2">
        <v>45085</v>
      </c>
      <c r="B412">
        <v>5</v>
      </c>
      <c r="C412" s="3">
        <v>31.4</v>
      </c>
      <c r="D412" s="3">
        <v>45.1</v>
      </c>
      <c r="E412" s="5">
        <f>EnergiaSolar[[#This Row],[Producido]]-EnergiaSolar[[#This Row],[Consumido]]</f>
        <v>-13.700000000000003</v>
      </c>
      <c r="F412" s="3">
        <f>EnergiaSolar[[#This Row],[Producido]]-EnergiaSolar[[#This Row],[Consumido]]</f>
        <v>-13.700000000000003</v>
      </c>
      <c r="G412" s="5" cm="1">
        <f t="array" ref="G412">EnergiaSolar[[#This Row],[Variante ]]*CostPerKwh[Precio Promedio Kwh]</f>
        <v>-4.2470000000000008</v>
      </c>
    </row>
    <row r="413" spans="1:7" x14ac:dyDescent="0.25">
      <c r="A413" s="2">
        <v>45086</v>
      </c>
      <c r="B413">
        <v>5</v>
      </c>
      <c r="C413" s="3">
        <v>26.7</v>
      </c>
      <c r="D413" s="3">
        <v>49.1</v>
      </c>
      <c r="E413" s="5">
        <f>EnergiaSolar[[#This Row],[Producido]]-EnergiaSolar[[#This Row],[Consumido]]</f>
        <v>-22.400000000000002</v>
      </c>
      <c r="F413" s="3">
        <f>EnergiaSolar[[#This Row],[Producido]]-EnergiaSolar[[#This Row],[Consumido]]</f>
        <v>-22.400000000000002</v>
      </c>
      <c r="G413" s="5" cm="1">
        <f t="array" ref="G413">EnergiaSolar[[#This Row],[Variante ]]*CostPerKwh[Precio Promedio Kwh]</f>
        <v>-6.9440000000000008</v>
      </c>
    </row>
    <row r="414" spans="1:7" x14ac:dyDescent="0.25">
      <c r="A414" s="2">
        <v>45087</v>
      </c>
      <c r="B414">
        <v>5</v>
      </c>
      <c r="C414" s="3">
        <v>23</v>
      </c>
      <c r="D414" s="3">
        <v>32.799999999999997</v>
      </c>
      <c r="E414" s="5">
        <f>EnergiaSolar[[#This Row],[Producido]]-EnergiaSolar[[#This Row],[Consumido]]</f>
        <v>-9.7999999999999972</v>
      </c>
      <c r="F414" s="3">
        <f>EnergiaSolar[[#This Row],[Producido]]-EnergiaSolar[[#This Row],[Consumido]]</f>
        <v>-9.7999999999999972</v>
      </c>
      <c r="G414" s="5" cm="1">
        <f t="array" ref="G414">EnergiaSolar[[#This Row],[Variante ]]*CostPerKwh[Precio Promedio Kwh]</f>
        <v>-3.0379999999999989</v>
      </c>
    </row>
    <row r="415" spans="1:7" x14ac:dyDescent="0.25">
      <c r="A415" s="2">
        <v>45088</v>
      </c>
      <c r="B415">
        <v>5</v>
      </c>
      <c r="C415" s="3">
        <v>30.4</v>
      </c>
      <c r="D415" s="3">
        <v>45</v>
      </c>
      <c r="E415" s="5">
        <f>EnergiaSolar[[#This Row],[Producido]]-EnergiaSolar[[#This Row],[Consumido]]</f>
        <v>-14.600000000000001</v>
      </c>
      <c r="F415" s="3">
        <f>EnergiaSolar[[#This Row],[Producido]]-EnergiaSolar[[#This Row],[Consumido]]</f>
        <v>-14.600000000000001</v>
      </c>
      <c r="G415" s="5" cm="1">
        <f t="array" ref="G415">EnergiaSolar[[#This Row],[Variante ]]*CostPerKwh[Precio Promedio Kwh]</f>
        <v>-4.5260000000000007</v>
      </c>
    </row>
    <row r="416" spans="1:7" x14ac:dyDescent="0.25">
      <c r="A416" s="2">
        <v>45089</v>
      </c>
      <c r="B416">
        <v>5</v>
      </c>
      <c r="C416" s="3">
        <v>21.7</v>
      </c>
      <c r="D416" s="3">
        <v>37.6</v>
      </c>
      <c r="E416" s="5">
        <f>EnergiaSolar[[#This Row],[Producido]]-EnergiaSolar[[#This Row],[Consumido]]</f>
        <v>-15.900000000000002</v>
      </c>
      <c r="F416" s="3">
        <f>EnergiaSolar[[#This Row],[Producido]]-EnergiaSolar[[#This Row],[Consumido]]</f>
        <v>-15.900000000000002</v>
      </c>
      <c r="G416" s="5" cm="1">
        <f t="array" ref="G416">EnergiaSolar[[#This Row],[Variante ]]*CostPerKwh[Precio Promedio Kwh]</f>
        <v>-4.9290000000000003</v>
      </c>
    </row>
    <row r="417" spans="1:7" x14ac:dyDescent="0.25">
      <c r="A417" s="2">
        <v>45090</v>
      </c>
      <c r="B417">
        <v>6</v>
      </c>
      <c r="C417" s="3">
        <v>23.2</v>
      </c>
      <c r="D417" s="3">
        <v>40.9</v>
      </c>
      <c r="E417" s="5">
        <f>EnergiaSolar[[#This Row],[Producido]]-EnergiaSolar[[#This Row],[Consumido]]</f>
        <v>-17.7</v>
      </c>
      <c r="F417" s="3">
        <f>EnergiaSolar[[#This Row],[Producido]]-EnergiaSolar[[#This Row],[Consumido]]</f>
        <v>-17.7</v>
      </c>
      <c r="G417" s="5" cm="1">
        <f t="array" ref="G417">EnergiaSolar[[#This Row],[Variante ]]*CostPerKwh[Precio Promedio Kwh]</f>
        <v>-5.4870000000000001</v>
      </c>
    </row>
    <row r="418" spans="1:7" x14ac:dyDescent="0.25">
      <c r="A418" s="2">
        <v>45091</v>
      </c>
      <c r="B418">
        <v>6</v>
      </c>
      <c r="C418" s="3">
        <v>26.2</v>
      </c>
      <c r="D418" s="3">
        <v>34.9</v>
      </c>
      <c r="E418" s="5">
        <f>EnergiaSolar[[#This Row],[Producido]]-EnergiaSolar[[#This Row],[Consumido]]</f>
        <v>-8.6999999999999993</v>
      </c>
      <c r="F418" s="3">
        <f>EnergiaSolar[[#This Row],[Producido]]-EnergiaSolar[[#This Row],[Consumido]]</f>
        <v>-8.6999999999999993</v>
      </c>
      <c r="G418" s="5" cm="1">
        <f t="array" ref="G418">EnergiaSolar[[#This Row],[Variante ]]*CostPerKwh[Precio Promedio Kwh]</f>
        <v>-2.6969999999999996</v>
      </c>
    </row>
    <row r="419" spans="1:7" x14ac:dyDescent="0.25">
      <c r="A419" s="2">
        <v>45092</v>
      </c>
      <c r="B419">
        <v>6</v>
      </c>
      <c r="C419" s="3">
        <v>32.700000000000003</v>
      </c>
      <c r="D419" s="3">
        <v>45.6</v>
      </c>
      <c r="E419" s="5">
        <f>EnergiaSolar[[#This Row],[Producido]]-EnergiaSolar[[#This Row],[Consumido]]</f>
        <v>-12.899999999999999</v>
      </c>
      <c r="F419" s="3">
        <f>EnergiaSolar[[#This Row],[Producido]]-EnergiaSolar[[#This Row],[Consumido]]</f>
        <v>-12.899999999999999</v>
      </c>
      <c r="G419" s="5" cm="1">
        <f t="array" ref="G419">EnergiaSolar[[#This Row],[Variante ]]*CostPerKwh[Precio Promedio Kwh]</f>
        <v>-3.9989999999999997</v>
      </c>
    </row>
    <row r="420" spans="1:7" x14ac:dyDescent="0.25">
      <c r="A420" s="2">
        <v>45093</v>
      </c>
      <c r="B420">
        <v>6</v>
      </c>
      <c r="C420" s="3">
        <v>28.4</v>
      </c>
      <c r="D420" s="3">
        <v>43.3</v>
      </c>
      <c r="E420" s="5">
        <f>EnergiaSolar[[#This Row],[Producido]]-EnergiaSolar[[#This Row],[Consumido]]</f>
        <v>-14.899999999999999</v>
      </c>
      <c r="F420" s="3">
        <f>EnergiaSolar[[#This Row],[Producido]]-EnergiaSolar[[#This Row],[Consumido]]</f>
        <v>-14.899999999999999</v>
      </c>
      <c r="G420" s="5" cm="1">
        <f t="array" ref="G420">EnergiaSolar[[#This Row],[Variante ]]*CostPerKwh[Precio Promedio Kwh]</f>
        <v>-4.6189999999999998</v>
      </c>
    </row>
    <row r="421" spans="1:7" x14ac:dyDescent="0.25">
      <c r="A421" s="2">
        <v>45094</v>
      </c>
      <c r="B421">
        <v>6</v>
      </c>
      <c r="C421" s="3">
        <v>21.6</v>
      </c>
      <c r="D421" s="3">
        <v>40.9</v>
      </c>
      <c r="E421" s="5">
        <f>EnergiaSolar[[#This Row],[Producido]]-EnergiaSolar[[#This Row],[Consumido]]</f>
        <v>-19.299999999999997</v>
      </c>
      <c r="F421" s="3">
        <f>EnergiaSolar[[#This Row],[Producido]]-EnergiaSolar[[#This Row],[Consumido]]</f>
        <v>-19.299999999999997</v>
      </c>
      <c r="G421" s="5" cm="1">
        <f t="array" ref="G421">EnergiaSolar[[#This Row],[Variante ]]*CostPerKwh[Precio Promedio Kwh]</f>
        <v>-5.9829999999999988</v>
      </c>
    </row>
    <row r="422" spans="1:7" x14ac:dyDescent="0.25">
      <c r="A422" s="2">
        <v>45095</v>
      </c>
      <c r="B422">
        <v>6</v>
      </c>
      <c r="C422" s="3">
        <v>22.6</v>
      </c>
      <c r="D422" s="3">
        <v>26.2</v>
      </c>
      <c r="E422" s="5">
        <f>EnergiaSolar[[#This Row],[Producido]]-EnergiaSolar[[#This Row],[Consumido]]</f>
        <v>-3.5999999999999979</v>
      </c>
      <c r="F422" s="3">
        <f>EnergiaSolar[[#This Row],[Producido]]-EnergiaSolar[[#This Row],[Consumido]]</f>
        <v>-3.5999999999999979</v>
      </c>
      <c r="G422" s="5" cm="1">
        <f t="array" ref="G422">EnergiaSolar[[#This Row],[Variante ]]*CostPerKwh[Precio Promedio Kwh]</f>
        <v>-1.1159999999999994</v>
      </c>
    </row>
    <row r="423" spans="1:7" x14ac:dyDescent="0.25">
      <c r="A423" s="2">
        <v>45096</v>
      </c>
      <c r="B423">
        <v>6</v>
      </c>
      <c r="C423" s="3">
        <v>23.4</v>
      </c>
      <c r="D423" s="3">
        <v>30.4</v>
      </c>
      <c r="E423" s="5">
        <f>EnergiaSolar[[#This Row],[Producido]]-EnergiaSolar[[#This Row],[Consumido]]</f>
        <v>-7</v>
      </c>
      <c r="F423" s="3">
        <f>EnergiaSolar[[#This Row],[Producido]]-EnergiaSolar[[#This Row],[Consumido]]</f>
        <v>-7</v>
      </c>
      <c r="G423" s="5" cm="1">
        <f t="array" ref="G423">EnergiaSolar[[#This Row],[Variante ]]*CostPerKwh[Precio Promedio Kwh]</f>
        <v>-2.17</v>
      </c>
    </row>
    <row r="424" spans="1:7" x14ac:dyDescent="0.25">
      <c r="A424" s="2">
        <v>45097</v>
      </c>
      <c r="B424">
        <v>6</v>
      </c>
      <c r="C424" s="3">
        <v>30.7</v>
      </c>
      <c r="D424" s="3">
        <v>36.5</v>
      </c>
      <c r="E424" s="5">
        <f>EnergiaSolar[[#This Row],[Producido]]-EnergiaSolar[[#This Row],[Consumido]]</f>
        <v>-5.8000000000000007</v>
      </c>
      <c r="F424" s="3">
        <f>EnergiaSolar[[#This Row],[Producido]]-EnergiaSolar[[#This Row],[Consumido]]</f>
        <v>-5.8000000000000007</v>
      </c>
      <c r="G424" s="5" cm="1">
        <f t="array" ref="G424">EnergiaSolar[[#This Row],[Variante ]]*CostPerKwh[Precio Promedio Kwh]</f>
        <v>-1.7980000000000003</v>
      </c>
    </row>
    <row r="425" spans="1:7" x14ac:dyDescent="0.25">
      <c r="A425" s="2">
        <v>45098</v>
      </c>
      <c r="B425">
        <v>6</v>
      </c>
      <c r="C425" s="3">
        <v>22.9</v>
      </c>
      <c r="D425" s="3">
        <v>36.5</v>
      </c>
      <c r="E425" s="5">
        <f>EnergiaSolar[[#This Row],[Producido]]-EnergiaSolar[[#This Row],[Consumido]]</f>
        <v>-13.600000000000001</v>
      </c>
      <c r="F425" s="3">
        <f>EnergiaSolar[[#This Row],[Producido]]-EnergiaSolar[[#This Row],[Consumido]]</f>
        <v>-13.600000000000001</v>
      </c>
      <c r="G425" s="5" cm="1">
        <f t="array" ref="G425">EnergiaSolar[[#This Row],[Variante ]]*CostPerKwh[Precio Promedio Kwh]</f>
        <v>-4.2160000000000002</v>
      </c>
    </row>
    <row r="426" spans="1:7" x14ac:dyDescent="0.25">
      <c r="A426" s="2">
        <v>45099</v>
      </c>
      <c r="B426">
        <v>6</v>
      </c>
      <c r="C426" s="3">
        <v>32.700000000000003</v>
      </c>
      <c r="D426" s="3">
        <v>46.5</v>
      </c>
      <c r="E426" s="5">
        <f>EnergiaSolar[[#This Row],[Producido]]-EnergiaSolar[[#This Row],[Consumido]]</f>
        <v>-13.799999999999997</v>
      </c>
      <c r="F426" s="3">
        <f>EnergiaSolar[[#This Row],[Producido]]-EnergiaSolar[[#This Row],[Consumido]]</f>
        <v>-13.799999999999997</v>
      </c>
      <c r="G426" s="5" cm="1">
        <f t="array" ref="G426">EnergiaSolar[[#This Row],[Variante ]]*CostPerKwh[Precio Promedio Kwh]</f>
        <v>-4.2779999999999987</v>
      </c>
    </row>
    <row r="427" spans="1:7" x14ac:dyDescent="0.25">
      <c r="A427" s="2">
        <v>45100</v>
      </c>
      <c r="B427">
        <v>6</v>
      </c>
      <c r="C427" s="3">
        <v>28.8</v>
      </c>
      <c r="D427" s="3">
        <v>37.200000000000003</v>
      </c>
      <c r="E427" s="5">
        <f>EnergiaSolar[[#This Row],[Producido]]-EnergiaSolar[[#This Row],[Consumido]]</f>
        <v>-8.4000000000000021</v>
      </c>
      <c r="F427" s="3">
        <f>EnergiaSolar[[#This Row],[Producido]]-EnergiaSolar[[#This Row],[Consumido]]</f>
        <v>-8.4000000000000021</v>
      </c>
      <c r="G427" s="5" cm="1">
        <f t="array" ref="G427">EnergiaSolar[[#This Row],[Variante ]]*CostPerKwh[Precio Promedio Kwh]</f>
        <v>-2.6040000000000005</v>
      </c>
    </row>
    <row r="428" spans="1:7" x14ac:dyDescent="0.25">
      <c r="A428" s="2">
        <v>45101</v>
      </c>
      <c r="B428">
        <v>6</v>
      </c>
      <c r="C428" s="3">
        <v>24.7</v>
      </c>
      <c r="D428" s="3">
        <v>39.6</v>
      </c>
      <c r="E428" s="5">
        <f>EnergiaSolar[[#This Row],[Producido]]-EnergiaSolar[[#This Row],[Consumido]]</f>
        <v>-14.900000000000002</v>
      </c>
      <c r="F428" s="3">
        <f>EnergiaSolar[[#This Row],[Producido]]-EnergiaSolar[[#This Row],[Consumido]]</f>
        <v>-14.900000000000002</v>
      </c>
      <c r="G428" s="5" cm="1">
        <f t="array" ref="G428">EnergiaSolar[[#This Row],[Variante ]]*CostPerKwh[Precio Promedio Kwh]</f>
        <v>-4.6190000000000007</v>
      </c>
    </row>
    <row r="429" spans="1:7" x14ac:dyDescent="0.25">
      <c r="A429" s="2">
        <v>45102</v>
      </c>
      <c r="B429">
        <v>6</v>
      </c>
      <c r="C429" s="3">
        <v>21.8</v>
      </c>
      <c r="D429" s="3">
        <v>39.6</v>
      </c>
      <c r="E429" s="5">
        <f>EnergiaSolar[[#This Row],[Producido]]-EnergiaSolar[[#This Row],[Consumido]]</f>
        <v>-17.8</v>
      </c>
      <c r="F429" s="3">
        <f>EnergiaSolar[[#This Row],[Producido]]-EnergiaSolar[[#This Row],[Consumido]]</f>
        <v>-17.8</v>
      </c>
      <c r="G429" s="5" cm="1">
        <f t="array" ref="G429">EnergiaSolar[[#This Row],[Variante ]]*CostPerKwh[Precio Promedio Kwh]</f>
        <v>-5.5179999999999998</v>
      </c>
    </row>
    <row r="430" spans="1:7" x14ac:dyDescent="0.25">
      <c r="A430" s="2">
        <v>45103</v>
      </c>
      <c r="B430">
        <v>6</v>
      </c>
      <c r="C430" s="3">
        <v>24.6</v>
      </c>
      <c r="D430" s="3">
        <v>33.9</v>
      </c>
      <c r="E430" s="5">
        <f>EnergiaSolar[[#This Row],[Producido]]-EnergiaSolar[[#This Row],[Consumido]]</f>
        <v>-9.2999999999999972</v>
      </c>
      <c r="F430" s="3">
        <f>EnergiaSolar[[#This Row],[Producido]]-EnergiaSolar[[#This Row],[Consumido]]</f>
        <v>-9.2999999999999972</v>
      </c>
      <c r="G430" s="5" cm="1">
        <f t="array" ref="G430">EnergiaSolar[[#This Row],[Variante ]]*CostPerKwh[Precio Promedio Kwh]</f>
        <v>-2.8829999999999991</v>
      </c>
    </row>
    <row r="431" spans="1:7" x14ac:dyDescent="0.25">
      <c r="A431" s="2">
        <v>45104</v>
      </c>
      <c r="B431">
        <v>6</v>
      </c>
      <c r="C431" s="3">
        <v>29.3</v>
      </c>
      <c r="D431" s="3">
        <v>34.700000000000003</v>
      </c>
      <c r="E431" s="5">
        <f>EnergiaSolar[[#This Row],[Producido]]-EnergiaSolar[[#This Row],[Consumido]]</f>
        <v>-5.4000000000000021</v>
      </c>
      <c r="F431" s="3">
        <f>EnergiaSolar[[#This Row],[Producido]]-EnergiaSolar[[#This Row],[Consumido]]</f>
        <v>-5.4000000000000021</v>
      </c>
      <c r="G431" s="5" cm="1">
        <f t="array" ref="G431">EnergiaSolar[[#This Row],[Variante ]]*CostPerKwh[Precio Promedio Kwh]</f>
        <v>-1.6740000000000006</v>
      </c>
    </row>
    <row r="432" spans="1:7" x14ac:dyDescent="0.25">
      <c r="A432" s="2">
        <v>45105</v>
      </c>
      <c r="B432">
        <v>6</v>
      </c>
      <c r="C432" s="3">
        <v>21</v>
      </c>
      <c r="D432" s="3">
        <v>36.299999999999997</v>
      </c>
      <c r="E432" s="5">
        <f>EnergiaSolar[[#This Row],[Producido]]-EnergiaSolar[[#This Row],[Consumido]]</f>
        <v>-15.299999999999997</v>
      </c>
      <c r="F432" s="3">
        <f>EnergiaSolar[[#This Row],[Producido]]-EnergiaSolar[[#This Row],[Consumido]]</f>
        <v>-15.299999999999997</v>
      </c>
      <c r="G432" s="5" cm="1">
        <f t="array" ref="G432">EnergiaSolar[[#This Row],[Variante ]]*CostPerKwh[Precio Promedio Kwh]</f>
        <v>-4.7429999999999994</v>
      </c>
    </row>
    <row r="433" spans="1:7" x14ac:dyDescent="0.25">
      <c r="A433" s="2">
        <v>45106</v>
      </c>
      <c r="B433">
        <v>6</v>
      </c>
      <c r="C433" s="3">
        <v>16.7</v>
      </c>
      <c r="D433" s="3">
        <v>32.200000000000003</v>
      </c>
      <c r="E433" s="5">
        <f>EnergiaSolar[[#This Row],[Producido]]-EnergiaSolar[[#This Row],[Consumido]]</f>
        <v>-15.500000000000004</v>
      </c>
      <c r="F433" s="3">
        <f>EnergiaSolar[[#This Row],[Producido]]-EnergiaSolar[[#This Row],[Consumido]]</f>
        <v>-15.500000000000004</v>
      </c>
      <c r="G433" s="5" cm="1">
        <f t="array" ref="G433">EnergiaSolar[[#This Row],[Variante ]]*CostPerKwh[Precio Promedio Kwh]</f>
        <v>-4.8050000000000015</v>
      </c>
    </row>
    <row r="434" spans="1:7" x14ac:dyDescent="0.25">
      <c r="A434" s="2">
        <v>45107</v>
      </c>
      <c r="B434">
        <v>6</v>
      </c>
      <c r="C434" s="3">
        <v>26.8</v>
      </c>
      <c r="D434" s="3">
        <v>43.4</v>
      </c>
      <c r="E434" s="5">
        <f>EnergiaSolar[[#This Row],[Producido]]-EnergiaSolar[[#This Row],[Consumido]]</f>
        <v>-16.599999999999998</v>
      </c>
      <c r="F434" s="3">
        <f>EnergiaSolar[[#This Row],[Producido]]-EnergiaSolar[[#This Row],[Consumido]]</f>
        <v>-16.599999999999998</v>
      </c>
      <c r="G434" s="5" cm="1">
        <f t="array" ref="G434">EnergiaSolar[[#This Row],[Variante ]]*CostPerKwh[Precio Promedio Kwh]</f>
        <v>-5.145999999999999</v>
      </c>
    </row>
    <row r="435" spans="1:7" x14ac:dyDescent="0.25">
      <c r="A435" s="2">
        <v>45108</v>
      </c>
      <c r="B435">
        <v>6</v>
      </c>
      <c r="C435" s="3">
        <v>31.2</v>
      </c>
      <c r="D435" s="3">
        <v>51.51</v>
      </c>
      <c r="E435" s="5">
        <f>EnergiaSolar[[#This Row],[Producido]]-EnergiaSolar[[#This Row],[Consumido]]</f>
        <v>-20.309999999999999</v>
      </c>
      <c r="F435" s="3">
        <f>EnergiaSolar[[#This Row],[Producido]]-EnergiaSolar[[#This Row],[Consumido]]</f>
        <v>-20.309999999999999</v>
      </c>
      <c r="G435" s="5" cm="1">
        <f t="array" ref="G435">EnergiaSolar[[#This Row],[Variante ]]*CostPerKwh[Precio Promedio Kwh]</f>
        <v>-6.2960999999999991</v>
      </c>
    </row>
    <row r="436" spans="1:7" x14ac:dyDescent="0.25">
      <c r="A436" s="2">
        <v>45109</v>
      </c>
      <c r="B436">
        <v>6</v>
      </c>
      <c r="C436" s="3">
        <v>24</v>
      </c>
      <c r="D436" s="3">
        <v>37.299999999999997</v>
      </c>
      <c r="E436" s="5">
        <f>EnergiaSolar[[#This Row],[Producido]]-EnergiaSolar[[#This Row],[Consumido]]</f>
        <v>-13.299999999999997</v>
      </c>
      <c r="F436" s="3">
        <f>EnergiaSolar[[#This Row],[Producido]]-EnergiaSolar[[#This Row],[Consumido]]</f>
        <v>-13.299999999999997</v>
      </c>
      <c r="G436" s="5" cm="1">
        <f t="array" ref="G436">EnergiaSolar[[#This Row],[Variante ]]*CostPerKwh[Precio Promedio Kwh]</f>
        <v>-4.1229999999999993</v>
      </c>
    </row>
    <row r="437" spans="1:7" x14ac:dyDescent="0.25">
      <c r="A437" s="2">
        <v>45110</v>
      </c>
      <c r="B437">
        <v>6</v>
      </c>
      <c r="C437" s="3">
        <v>28.9</v>
      </c>
      <c r="D437" s="3">
        <v>35.1</v>
      </c>
      <c r="E437" s="5">
        <f>EnergiaSolar[[#This Row],[Producido]]-EnergiaSolar[[#This Row],[Consumido]]</f>
        <v>-6.2000000000000028</v>
      </c>
      <c r="F437" s="3">
        <f>EnergiaSolar[[#This Row],[Producido]]-EnergiaSolar[[#This Row],[Consumido]]</f>
        <v>-6.2000000000000028</v>
      </c>
      <c r="G437" s="5" cm="1">
        <f t="array" ref="G437">EnergiaSolar[[#This Row],[Variante ]]*CostPerKwh[Precio Promedio Kwh]</f>
        <v>-1.9220000000000008</v>
      </c>
    </row>
    <row r="438" spans="1:7" x14ac:dyDescent="0.25">
      <c r="A438" s="2">
        <v>45111</v>
      </c>
      <c r="B438">
        <v>6</v>
      </c>
      <c r="C438" s="3">
        <v>11.7</v>
      </c>
      <c r="D438" s="3">
        <v>34.700000000000003</v>
      </c>
      <c r="E438" s="5">
        <f>EnergiaSolar[[#This Row],[Producido]]-EnergiaSolar[[#This Row],[Consumido]]</f>
        <v>-23.000000000000004</v>
      </c>
      <c r="F438" s="3">
        <f>EnergiaSolar[[#This Row],[Producido]]-EnergiaSolar[[#This Row],[Consumido]]</f>
        <v>-23.000000000000004</v>
      </c>
      <c r="G438" s="5" cm="1">
        <f t="array" ref="G438">EnergiaSolar[[#This Row],[Variante ]]*CostPerKwh[Precio Promedio Kwh]</f>
        <v>-7.1300000000000008</v>
      </c>
    </row>
    <row r="439" spans="1:7" x14ac:dyDescent="0.25">
      <c r="A439" s="2">
        <v>45112</v>
      </c>
      <c r="B439">
        <v>6</v>
      </c>
      <c r="C439" s="3">
        <v>28.4</v>
      </c>
      <c r="D439" s="3">
        <v>37.9</v>
      </c>
      <c r="E439" s="5">
        <f>EnergiaSolar[[#This Row],[Producido]]-EnergiaSolar[[#This Row],[Consumido]]</f>
        <v>-9.5</v>
      </c>
      <c r="F439" s="3">
        <f>EnergiaSolar[[#This Row],[Producido]]-EnergiaSolar[[#This Row],[Consumido]]</f>
        <v>-9.5</v>
      </c>
      <c r="G439" s="5" cm="1">
        <f t="array" ref="G439">EnergiaSolar[[#This Row],[Variante ]]*CostPerKwh[Precio Promedio Kwh]</f>
        <v>-2.9449999999999998</v>
      </c>
    </row>
    <row r="440" spans="1:7" x14ac:dyDescent="0.25">
      <c r="A440" s="2">
        <v>45113</v>
      </c>
      <c r="B440">
        <v>6</v>
      </c>
      <c r="C440" s="3">
        <v>25.6</v>
      </c>
      <c r="D440" s="3">
        <v>33.6</v>
      </c>
      <c r="E440" s="5">
        <f>EnergiaSolar[[#This Row],[Producido]]-EnergiaSolar[[#This Row],[Consumido]]</f>
        <v>-8</v>
      </c>
      <c r="F440" s="3">
        <f>EnergiaSolar[[#This Row],[Producido]]-EnergiaSolar[[#This Row],[Consumido]]</f>
        <v>-8</v>
      </c>
      <c r="G440" s="5" cm="1">
        <f t="array" ref="G440">EnergiaSolar[[#This Row],[Variante ]]*CostPerKwh[Precio Promedio Kwh]</f>
        <v>-2.48</v>
      </c>
    </row>
    <row r="441" spans="1:7" x14ac:dyDescent="0.25">
      <c r="A441" s="2">
        <v>45114</v>
      </c>
      <c r="B441">
        <v>6</v>
      </c>
      <c r="C441" s="3">
        <v>31.7</v>
      </c>
      <c r="D441" s="3">
        <v>47.8</v>
      </c>
      <c r="E441" s="5">
        <f>EnergiaSolar[[#This Row],[Producido]]-EnergiaSolar[[#This Row],[Consumido]]</f>
        <v>-16.099999999999998</v>
      </c>
      <c r="F441" s="3">
        <f>EnergiaSolar[[#This Row],[Producido]]-EnergiaSolar[[#This Row],[Consumido]]</f>
        <v>-16.099999999999998</v>
      </c>
      <c r="G441" s="5" cm="1">
        <f t="array" ref="G441">EnergiaSolar[[#This Row],[Variante ]]*CostPerKwh[Precio Promedio Kwh]</f>
        <v>-4.9909999999999997</v>
      </c>
    </row>
    <row r="442" spans="1:7" x14ac:dyDescent="0.25">
      <c r="A442" s="2">
        <v>45115</v>
      </c>
      <c r="B442">
        <v>6</v>
      </c>
      <c r="C442" s="3">
        <v>30.2</v>
      </c>
      <c r="D442" s="3">
        <v>46</v>
      </c>
      <c r="E442" s="5">
        <f>EnergiaSolar[[#This Row],[Producido]]-EnergiaSolar[[#This Row],[Consumido]]</f>
        <v>-15.8</v>
      </c>
      <c r="F442" s="3">
        <f>EnergiaSolar[[#This Row],[Producido]]-EnergiaSolar[[#This Row],[Consumido]]</f>
        <v>-15.8</v>
      </c>
      <c r="G442" s="5" cm="1">
        <f t="array" ref="G442">EnergiaSolar[[#This Row],[Variante ]]*CostPerKwh[Precio Promedio Kwh]</f>
        <v>-4.8980000000000006</v>
      </c>
    </row>
    <row r="443" spans="1:7" x14ac:dyDescent="0.25">
      <c r="A443" s="2">
        <v>45116</v>
      </c>
      <c r="B443">
        <v>6</v>
      </c>
      <c r="C443" s="3">
        <v>17.3</v>
      </c>
      <c r="D443" s="3">
        <v>34.200000000000003</v>
      </c>
      <c r="E443" s="5">
        <f>EnergiaSolar[[#This Row],[Producido]]-EnergiaSolar[[#This Row],[Consumido]]</f>
        <v>-16.900000000000002</v>
      </c>
      <c r="F443" s="3">
        <f>EnergiaSolar[[#This Row],[Producido]]-EnergiaSolar[[#This Row],[Consumido]]</f>
        <v>-16.900000000000002</v>
      </c>
      <c r="G443" s="5" cm="1">
        <f t="array" ref="G443">EnergiaSolar[[#This Row],[Variante ]]*CostPerKwh[Precio Promedio Kwh]</f>
        <v>-5.2390000000000008</v>
      </c>
    </row>
    <row r="444" spans="1:7" x14ac:dyDescent="0.25">
      <c r="A444" s="2">
        <v>45117</v>
      </c>
      <c r="B444">
        <v>6</v>
      </c>
      <c r="C444" s="3">
        <v>30.7</v>
      </c>
      <c r="D444" s="3">
        <v>32.700000000000003</v>
      </c>
      <c r="E444" s="5">
        <f>EnergiaSolar[[#This Row],[Producido]]-EnergiaSolar[[#This Row],[Consumido]]</f>
        <v>-2.0000000000000036</v>
      </c>
      <c r="F444" s="3">
        <f>EnergiaSolar[[#This Row],[Producido]]-EnergiaSolar[[#This Row],[Consumido]]</f>
        <v>-2.0000000000000036</v>
      </c>
      <c r="G444" s="5" cm="1">
        <f t="array" ref="G444">EnergiaSolar[[#This Row],[Variante ]]*CostPerKwh[Precio Promedio Kwh]</f>
        <v>-0.62000000000000111</v>
      </c>
    </row>
    <row r="445" spans="1:7" x14ac:dyDescent="0.25">
      <c r="A445" s="2">
        <v>45118</v>
      </c>
      <c r="B445">
        <v>6</v>
      </c>
      <c r="C445" s="3">
        <v>30.7</v>
      </c>
      <c r="D445" s="3">
        <v>36.6</v>
      </c>
      <c r="E445" s="5">
        <f>EnergiaSolar[[#This Row],[Producido]]-EnergiaSolar[[#This Row],[Consumido]]</f>
        <v>-5.9000000000000021</v>
      </c>
      <c r="F445" s="3">
        <f>EnergiaSolar[[#This Row],[Producido]]-EnergiaSolar[[#This Row],[Consumido]]</f>
        <v>-5.9000000000000021</v>
      </c>
      <c r="G445" s="5" cm="1">
        <f t="array" ref="G445">EnergiaSolar[[#This Row],[Variante ]]*CostPerKwh[Precio Promedio Kwh]</f>
        <v>-1.8290000000000006</v>
      </c>
    </row>
    <row r="446" spans="1:7" x14ac:dyDescent="0.25">
      <c r="A446" s="2">
        <v>45119</v>
      </c>
      <c r="B446">
        <v>6</v>
      </c>
      <c r="C446" s="3">
        <v>13.1</v>
      </c>
      <c r="D446" s="3">
        <v>40</v>
      </c>
      <c r="E446" s="5">
        <f>EnergiaSolar[[#This Row],[Producido]]-EnergiaSolar[[#This Row],[Consumido]]</f>
        <v>-26.9</v>
      </c>
      <c r="F446" s="3">
        <f>EnergiaSolar[[#This Row],[Producido]]-EnergiaSolar[[#This Row],[Consumido]]</f>
        <v>-26.9</v>
      </c>
      <c r="G446" s="5" cm="1">
        <f t="array" ref="G446">EnergiaSolar[[#This Row],[Variante ]]*CostPerKwh[Precio Promedio Kwh]</f>
        <v>-8.3389999999999986</v>
      </c>
    </row>
    <row r="447" spans="1:7" x14ac:dyDescent="0.25">
      <c r="A447" s="2">
        <v>45120</v>
      </c>
      <c r="B447">
        <v>7</v>
      </c>
      <c r="C447" s="3">
        <v>24</v>
      </c>
      <c r="D447" s="3">
        <v>31.9</v>
      </c>
      <c r="E447" s="5">
        <f>EnergiaSolar[[#This Row],[Producido]]-EnergiaSolar[[#This Row],[Consumido]]</f>
        <v>-7.8999999999999986</v>
      </c>
      <c r="F447" s="3">
        <f>EnergiaSolar[[#This Row],[Producido]]-EnergiaSolar[[#This Row],[Consumido]]</f>
        <v>-7.8999999999999986</v>
      </c>
      <c r="G447" s="5" cm="1">
        <f t="array" ref="G447">EnergiaSolar[[#This Row],[Variante ]]*CostPerKwh[Precio Promedio Kwh]</f>
        <v>-2.4489999999999994</v>
      </c>
    </row>
    <row r="448" spans="1:7" x14ac:dyDescent="0.25">
      <c r="A448" s="2">
        <v>45121</v>
      </c>
      <c r="B448">
        <v>7</v>
      </c>
      <c r="C448" s="3">
        <v>29.4</v>
      </c>
      <c r="D448" s="3">
        <v>45.2</v>
      </c>
      <c r="E448" s="5">
        <f>EnergiaSolar[[#This Row],[Producido]]-EnergiaSolar[[#This Row],[Consumido]]</f>
        <v>-15.800000000000004</v>
      </c>
      <c r="F448" s="3">
        <f>EnergiaSolar[[#This Row],[Producido]]-EnergiaSolar[[#This Row],[Consumido]]</f>
        <v>-15.800000000000004</v>
      </c>
      <c r="G448" s="5" cm="1">
        <f t="array" ref="G448">EnergiaSolar[[#This Row],[Variante ]]*CostPerKwh[Precio Promedio Kwh]</f>
        <v>-4.8980000000000015</v>
      </c>
    </row>
    <row r="449" spans="1:7" x14ac:dyDescent="0.25">
      <c r="A449" s="2">
        <v>45122</v>
      </c>
      <c r="B449">
        <v>7</v>
      </c>
      <c r="C449" s="3">
        <v>29.1</v>
      </c>
      <c r="D449" s="3">
        <v>47</v>
      </c>
      <c r="E449" s="5">
        <f>EnergiaSolar[[#This Row],[Producido]]-EnergiaSolar[[#This Row],[Consumido]]</f>
        <v>-17.899999999999999</v>
      </c>
      <c r="F449" s="3">
        <f>EnergiaSolar[[#This Row],[Producido]]-EnergiaSolar[[#This Row],[Consumido]]</f>
        <v>-17.899999999999999</v>
      </c>
      <c r="G449" s="5" cm="1">
        <f t="array" ref="G449">EnergiaSolar[[#This Row],[Variante ]]*CostPerKwh[Precio Promedio Kwh]</f>
        <v>-5.5489999999999995</v>
      </c>
    </row>
    <row r="450" spans="1:7" x14ac:dyDescent="0.25">
      <c r="A450" s="2">
        <v>45123</v>
      </c>
      <c r="B450">
        <v>7</v>
      </c>
      <c r="C450" s="3">
        <v>18.100000000000001</v>
      </c>
      <c r="D450" s="3">
        <v>38</v>
      </c>
      <c r="E450" s="5">
        <f>EnergiaSolar[[#This Row],[Producido]]-EnergiaSolar[[#This Row],[Consumido]]</f>
        <v>-19.899999999999999</v>
      </c>
      <c r="F450" s="3">
        <f>EnergiaSolar[[#This Row],[Producido]]-EnergiaSolar[[#This Row],[Consumido]]</f>
        <v>-19.899999999999999</v>
      </c>
      <c r="G450" s="5" cm="1">
        <f t="array" ref="G450">EnergiaSolar[[#This Row],[Variante ]]*CostPerKwh[Precio Promedio Kwh]</f>
        <v>-6.1689999999999996</v>
      </c>
    </row>
    <row r="451" spans="1:7" x14ac:dyDescent="0.25">
      <c r="A451" s="2">
        <v>45124</v>
      </c>
      <c r="B451">
        <v>7</v>
      </c>
      <c r="C451" s="3">
        <v>19</v>
      </c>
      <c r="D451" s="3">
        <v>33.6</v>
      </c>
      <c r="E451" s="5">
        <f>EnergiaSolar[[#This Row],[Producido]]-EnergiaSolar[[#This Row],[Consumido]]</f>
        <v>-14.600000000000001</v>
      </c>
      <c r="F451" s="3">
        <f>EnergiaSolar[[#This Row],[Producido]]-EnergiaSolar[[#This Row],[Consumido]]</f>
        <v>-14.600000000000001</v>
      </c>
      <c r="G451" s="5" cm="1">
        <f t="array" ref="G451">EnergiaSolar[[#This Row],[Variante ]]*CostPerKwh[Precio Promedio Kwh]</f>
        <v>-4.5260000000000007</v>
      </c>
    </row>
    <row r="452" spans="1:7" x14ac:dyDescent="0.25">
      <c r="A452" s="2">
        <v>45125</v>
      </c>
      <c r="B452">
        <v>7</v>
      </c>
      <c r="C452" s="3">
        <v>28.4</v>
      </c>
      <c r="D452" s="3">
        <v>36.1</v>
      </c>
      <c r="E452" s="5">
        <f>EnergiaSolar[[#This Row],[Producido]]-EnergiaSolar[[#This Row],[Consumido]]</f>
        <v>-7.7000000000000028</v>
      </c>
      <c r="F452" s="3">
        <f>EnergiaSolar[[#This Row],[Producido]]-EnergiaSolar[[#This Row],[Consumido]]</f>
        <v>-7.7000000000000028</v>
      </c>
      <c r="G452" s="5" cm="1">
        <f t="array" ref="G452">EnergiaSolar[[#This Row],[Variante ]]*CostPerKwh[Precio Promedio Kwh]</f>
        <v>-2.3870000000000009</v>
      </c>
    </row>
    <row r="453" spans="1:7" x14ac:dyDescent="0.25">
      <c r="A453" s="2">
        <v>45126</v>
      </c>
      <c r="B453">
        <v>7</v>
      </c>
      <c r="C453" s="3">
        <v>23.8</v>
      </c>
      <c r="D453" s="3">
        <v>39.299999999999997</v>
      </c>
      <c r="E453" s="5">
        <f>EnergiaSolar[[#This Row],[Producido]]-EnergiaSolar[[#This Row],[Consumido]]</f>
        <v>-15.499999999999996</v>
      </c>
      <c r="F453" s="3">
        <f>EnergiaSolar[[#This Row],[Producido]]-EnergiaSolar[[#This Row],[Consumido]]</f>
        <v>-15.499999999999996</v>
      </c>
      <c r="G453" s="5" cm="1">
        <f t="array" ref="G453">EnergiaSolar[[#This Row],[Variante ]]*CostPerKwh[Precio Promedio Kwh]</f>
        <v>-4.8049999999999988</v>
      </c>
    </row>
    <row r="454" spans="1:7" x14ac:dyDescent="0.25">
      <c r="A454" s="2">
        <v>45127</v>
      </c>
      <c r="B454">
        <v>7</v>
      </c>
      <c r="C454" s="3">
        <v>28</v>
      </c>
      <c r="D454" s="3">
        <v>47.9</v>
      </c>
      <c r="E454" s="5">
        <f>EnergiaSolar[[#This Row],[Producido]]-EnergiaSolar[[#This Row],[Consumido]]</f>
        <v>-19.899999999999999</v>
      </c>
      <c r="F454" s="3">
        <f>EnergiaSolar[[#This Row],[Producido]]-EnergiaSolar[[#This Row],[Consumido]]</f>
        <v>-19.899999999999999</v>
      </c>
      <c r="G454" s="5" cm="1">
        <f t="array" ref="G454">EnergiaSolar[[#This Row],[Variante ]]*CostPerKwh[Precio Promedio Kwh]</f>
        <v>-6.1689999999999996</v>
      </c>
    </row>
    <row r="455" spans="1:7" x14ac:dyDescent="0.25">
      <c r="A455" s="2">
        <v>45128</v>
      </c>
      <c r="B455">
        <v>7</v>
      </c>
      <c r="C455" s="3">
        <v>27.7</v>
      </c>
      <c r="D455" s="3">
        <v>42.6</v>
      </c>
      <c r="E455" s="5">
        <f>EnergiaSolar[[#This Row],[Producido]]-EnergiaSolar[[#This Row],[Consumido]]</f>
        <v>-14.900000000000002</v>
      </c>
      <c r="F455" s="3">
        <f>EnergiaSolar[[#This Row],[Producido]]-EnergiaSolar[[#This Row],[Consumido]]</f>
        <v>-14.900000000000002</v>
      </c>
      <c r="G455" s="5" cm="1">
        <f t="array" ref="G455">EnergiaSolar[[#This Row],[Variante ]]*CostPerKwh[Precio Promedio Kwh]</f>
        <v>-4.6190000000000007</v>
      </c>
    </row>
    <row r="456" spans="1:7" x14ac:dyDescent="0.25">
      <c r="A456" s="2">
        <v>45129</v>
      </c>
      <c r="B456">
        <v>7</v>
      </c>
      <c r="C456" s="3">
        <v>31.4</v>
      </c>
      <c r="D456" s="3">
        <v>42.6</v>
      </c>
      <c r="E456" s="5">
        <f>EnergiaSolar[[#This Row],[Producido]]-EnergiaSolar[[#This Row],[Consumido]]</f>
        <v>-11.200000000000003</v>
      </c>
      <c r="F456" s="3">
        <f>EnergiaSolar[[#This Row],[Producido]]-EnergiaSolar[[#This Row],[Consumido]]</f>
        <v>-11.200000000000003</v>
      </c>
      <c r="G456" s="5" cm="1">
        <f t="array" ref="G456">EnergiaSolar[[#This Row],[Variante ]]*CostPerKwh[Precio Promedio Kwh]</f>
        <v>-3.4720000000000009</v>
      </c>
    </row>
    <row r="457" spans="1:7" x14ac:dyDescent="0.25">
      <c r="A457" s="2">
        <v>45130</v>
      </c>
      <c r="B457">
        <v>7</v>
      </c>
      <c r="C457" s="3">
        <v>22</v>
      </c>
      <c r="D457" s="3">
        <v>35.9</v>
      </c>
      <c r="E457" s="5">
        <f>EnergiaSolar[[#This Row],[Producido]]-EnergiaSolar[[#This Row],[Consumido]]</f>
        <v>-13.899999999999999</v>
      </c>
      <c r="F457" s="3">
        <f>EnergiaSolar[[#This Row],[Producido]]-EnergiaSolar[[#This Row],[Consumido]]</f>
        <v>-13.899999999999999</v>
      </c>
      <c r="G457" s="5" cm="1">
        <f t="array" ref="G457">EnergiaSolar[[#This Row],[Variante ]]*CostPerKwh[Precio Promedio Kwh]</f>
        <v>-4.3089999999999993</v>
      </c>
    </row>
    <row r="458" spans="1:7" x14ac:dyDescent="0.25">
      <c r="A458" s="2">
        <v>45131</v>
      </c>
      <c r="B458">
        <v>7</v>
      </c>
      <c r="C458" s="3">
        <v>20.7</v>
      </c>
      <c r="D458" s="3">
        <v>30.4</v>
      </c>
      <c r="E458" s="5">
        <f>EnergiaSolar[[#This Row],[Producido]]-EnergiaSolar[[#This Row],[Consumido]]</f>
        <v>-9.6999999999999993</v>
      </c>
      <c r="F458" s="3">
        <f>EnergiaSolar[[#This Row],[Producido]]-EnergiaSolar[[#This Row],[Consumido]]</f>
        <v>-9.6999999999999993</v>
      </c>
      <c r="G458" s="5" cm="1">
        <f t="array" ref="G458">EnergiaSolar[[#This Row],[Variante ]]*CostPerKwh[Precio Promedio Kwh]</f>
        <v>-3.0069999999999997</v>
      </c>
    </row>
    <row r="459" spans="1:7" x14ac:dyDescent="0.25">
      <c r="A459" s="2">
        <v>45132</v>
      </c>
      <c r="B459">
        <v>7</v>
      </c>
      <c r="C459" s="3">
        <v>24.4</v>
      </c>
      <c r="D459" s="3">
        <v>31.2</v>
      </c>
      <c r="E459" s="5">
        <f>EnergiaSolar[[#This Row],[Producido]]-EnergiaSolar[[#This Row],[Consumido]]</f>
        <v>-6.8000000000000007</v>
      </c>
      <c r="F459" s="3">
        <f>EnergiaSolar[[#This Row],[Producido]]-EnergiaSolar[[#This Row],[Consumido]]</f>
        <v>-6.8000000000000007</v>
      </c>
      <c r="G459" s="5" cm="1">
        <f t="array" ref="G459">EnergiaSolar[[#This Row],[Variante ]]*CostPerKwh[Precio Promedio Kwh]</f>
        <v>-2.1080000000000001</v>
      </c>
    </row>
    <row r="460" spans="1:7" x14ac:dyDescent="0.25">
      <c r="A460" s="2">
        <v>45133</v>
      </c>
      <c r="B460">
        <v>7</v>
      </c>
      <c r="C460" s="3">
        <v>9.5</v>
      </c>
      <c r="D460" s="3">
        <v>30.1</v>
      </c>
      <c r="E460" s="5">
        <f>EnergiaSolar[[#This Row],[Producido]]-EnergiaSolar[[#This Row],[Consumido]]</f>
        <v>-20.6</v>
      </c>
      <c r="F460" s="3">
        <f>EnergiaSolar[[#This Row],[Producido]]-EnergiaSolar[[#This Row],[Consumido]]</f>
        <v>-20.6</v>
      </c>
      <c r="G460" s="5" cm="1">
        <f t="array" ref="G460">EnergiaSolar[[#This Row],[Variante ]]*CostPerKwh[Precio Promedio Kwh]</f>
        <v>-6.3860000000000001</v>
      </c>
    </row>
    <row r="461" spans="1:7" x14ac:dyDescent="0.25">
      <c r="A461" s="2">
        <v>45134</v>
      </c>
      <c r="B461">
        <v>7</v>
      </c>
      <c r="C461" s="3">
        <v>19.5</v>
      </c>
      <c r="D461" s="3">
        <v>37.299999999999997</v>
      </c>
      <c r="E461" s="5">
        <f>EnergiaSolar[[#This Row],[Producido]]-EnergiaSolar[[#This Row],[Consumido]]</f>
        <v>-17.799999999999997</v>
      </c>
      <c r="F461" s="3">
        <f>EnergiaSolar[[#This Row],[Producido]]-EnergiaSolar[[#This Row],[Consumido]]</f>
        <v>-17.799999999999997</v>
      </c>
      <c r="G461" s="5" cm="1">
        <f t="array" ref="G461">EnergiaSolar[[#This Row],[Variante ]]*CostPerKwh[Precio Promedio Kwh]</f>
        <v>-5.5179999999999989</v>
      </c>
    </row>
    <row r="462" spans="1:7" x14ac:dyDescent="0.25">
      <c r="A462" s="2">
        <v>45135</v>
      </c>
      <c r="B462">
        <v>7</v>
      </c>
      <c r="C462" s="3">
        <v>25.8</v>
      </c>
      <c r="D462" s="3">
        <v>35.5</v>
      </c>
      <c r="E462" s="5">
        <f>EnergiaSolar[[#This Row],[Producido]]-EnergiaSolar[[#This Row],[Consumido]]</f>
        <v>-9.6999999999999993</v>
      </c>
      <c r="F462" s="3">
        <f>EnergiaSolar[[#This Row],[Producido]]-EnergiaSolar[[#This Row],[Consumido]]</f>
        <v>-9.6999999999999993</v>
      </c>
      <c r="G462" s="5" cm="1">
        <f t="array" ref="G462">EnergiaSolar[[#This Row],[Variante ]]*CostPerKwh[Precio Promedio Kwh]</f>
        <v>-3.0069999999999997</v>
      </c>
    </row>
    <row r="463" spans="1:7" x14ac:dyDescent="0.25">
      <c r="A463" s="2">
        <v>45136</v>
      </c>
      <c r="B463">
        <v>7</v>
      </c>
      <c r="C463" s="3">
        <v>26.1</v>
      </c>
      <c r="D463" s="3">
        <v>36.6</v>
      </c>
      <c r="E463" s="5">
        <f>EnergiaSolar[[#This Row],[Producido]]-EnergiaSolar[[#This Row],[Consumido]]</f>
        <v>-10.5</v>
      </c>
      <c r="F463" s="3">
        <f>EnergiaSolar[[#This Row],[Producido]]-EnergiaSolar[[#This Row],[Consumido]]</f>
        <v>-10.5</v>
      </c>
      <c r="G463" s="5" cm="1">
        <f t="array" ref="G463">EnergiaSolar[[#This Row],[Variante ]]*CostPerKwh[Precio Promedio Kwh]</f>
        <v>-3.2549999999999999</v>
      </c>
    </row>
    <row r="464" spans="1:7" x14ac:dyDescent="0.25">
      <c r="A464" s="2">
        <v>45137</v>
      </c>
      <c r="B464">
        <v>7</v>
      </c>
      <c r="C464" s="3">
        <v>25.4</v>
      </c>
      <c r="D464" s="3">
        <v>37.5</v>
      </c>
      <c r="E464" s="5">
        <f>EnergiaSolar[[#This Row],[Producido]]-EnergiaSolar[[#This Row],[Consumido]]</f>
        <v>-12.100000000000001</v>
      </c>
      <c r="F464" s="3">
        <f>EnergiaSolar[[#This Row],[Producido]]-EnergiaSolar[[#This Row],[Consumido]]</f>
        <v>-12.100000000000001</v>
      </c>
      <c r="G464" s="5" cm="1">
        <f t="array" ref="G464">EnergiaSolar[[#This Row],[Variante ]]*CostPerKwh[Precio Promedio Kwh]</f>
        <v>-3.7510000000000003</v>
      </c>
    </row>
    <row r="465" spans="1:7" x14ac:dyDescent="0.25">
      <c r="A465" s="2">
        <v>45138</v>
      </c>
      <c r="B465">
        <v>7</v>
      </c>
      <c r="C465" s="3">
        <v>21.8</v>
      </c>
      <c r="D465" s="3">
        <v>34.5</v>
      </c>
      <c r="E465" s="5">
        <f>EnergiaSolar[[#This Row],[Producido]]-EnergiaSolar[[#This Row],[Consumido]]</f>
        <v>-12.7</v>
      </c>
      <c r="F465" s="3">
        <f>EnergiaSolar[[#This Row],[Producido]]-EnergiaSolar[[#This Row],[Consumido]]</f>
        <v>-12.7</v>
      </c>
      <c r="G465" s="5" cm="1">
        <f t="array" ref="G465">EnergiaSolar[[#This Row],[Variante ]]*CostPerKwh[Precio Promedio Kwh]</f>
        <v>-3.9369999999999998</v>
      </c>
    </row>
    <row r="466" spans="1:7" x14ac:dyDescent="0.25">
      <c r="A466" s="2">
        <v>45139</v>
      </c>
      <c r="B466">
        <v>7</v>
      </c>
      <c r="C466" s="3">
        <v>27.4</v>
      </c>
      <c r="D466" s="3">
        <v>33.700000000000003</v>
      </c>
      <c r="E466" s="5">
        <f>EnergiaSolar[[#This Row],[Producido]]-EnergiaSolar[[#This Row],[Consumido]]</f>
        <v>-6.3000000000000043</v>
      </c>
      <c r="F466" s="3">
        <f>EnergiaSolar[[#This Row],[Producido]]-EnergiaSolar[[#This Row],[Consumido]]</f>
        <v>-6.3000000000000043</v>
      </c>
      <c r="G466" s="5" cm="1">
        <f t="array" ref="G466">EnergiaSolar[[#This Row],[Variante ]]*CostPerKwh[Precio Promedio Kwh]</f>
        <v>-1.9530000000000014</v>
      </c>
    </row>
    <row r="467" spans="1:7" x14ac:dyDescent="0.25">
      <c r="A467" s="2">
        <v>45140</v>
      </c>
      <c r="B467">
        <v>7</v>
      </c>
      <c r="C467" s="3">
        <v>28.3</v>
      </c>
      <c r="D467" s="3">
        <v>34</v>
      </c>
      <c r="E467" s="5">
        <f>EnergiaSolar[[#This Row],[Producido]]-EnergiaSolar[[#This Row],[Consumido]]</f>
        <v>-5.6999999999999993</v>
      </c>
      <c r="F467" s="3">
        <f>EnergiaSolar[[#This Row],[Producido]]-EnergiaSolar[[#This Row],[Consumido]]</f>
        <v>-5.6999999999999993</v>
      </c>
      <c r="G467" s="5" cm="1">
        <f t="array" ref="G467">EnergiaSolar[[#This Row],[Variante ]]*CostPerKwh[Precio Promedio Kwh]</f>
        <v>-1.7669999999999997</v>
      </c>
    </row>
    <row r="468" spans="1:7" x14ac:dyDescent="0.25">
      <c r="A468" s="2">
        <v>45141</v>
      </c>
      <c r="B468">
        <v>7</v>
      </c>
      <c r="C468" s="3">
        <v>21.1</v>
      </c>
      <c r="D468" s="3">
        <v>44.7</v>
      </c>
      <c r="E468" s="5">
        <f>EnergiaSolar[[#This Row],[Producido]]-EnergiaSolar[[#This Row],[Consumido]]</f>
        <v>-23.6</v>
      </c>
      <c r="F468" s="3">
        <f>EnergiaSolar[[#This Row],[Producido]]-EnergiaSolar[[#This Row],[Consumido]]</f>
        <v>-23.6</v>
      </c>
      <c r="G468" s="5" cm="1">
        <f t="array" ref="G468">EnergiaSolar[[#This Row],[Variante ]]*CostPerKwh[Precio Promedio Kwh]</f>
        <v>-7.3160000000000007</v>
      </c>
    </row>
    <row r="469" spans="1:7" x14ac:dyDescent="0.25">
      <c r="A469" s="2">
        <v>45142</v>
      </c>
      <c r="B469">
        <v>7</v>
      </c>
      <c r="C469" s="3">
        <v>22.1</v>
      </c>
      <c r="D469" s="3">
        <v>38.9</v>
      </c>
      <c r="E469" s="5">
        <f>EnergiaSolar[[#This Row],[Producido]]-EnergiaSolar[[#This Row],[Consumido]]</f>
        <v>-16.799999999999997</v>
      </c>
      <c r="F469" s="3">
        <f>EnergiaSolar[[#This Row],[Producido]]-EnergiaSolar[[#This Row],[Consumido]]</f>
        <v>-16.799999999999997</v>
      </c>
      <c r="G469" s="5" cm="1">
        <f t="array" ref="G469">EnergiaSolar[[#This Row],[Variante ]]*CostPerKwh[Precio Promedio Kwh]</f>
        <v>-5.2079999999999993</v>
      </c>
    </row>
    <row r="470" spans="1:7" x14ac:dyDescent="0.25">
      <c r="A470" s="2">
        <v>45143</v>
      </c>
      <c r="B470">
        <v>7</v>
      </c>
      <c r="C470" s="3">
        <v>26.6</v>
      </c>
      <c r="D470" s="3">
        <v>36.799999999999997</v>
      </c>
      <c r="E470" s="5">
        <f>EnergiaSolar[[#This Row],[Producido]]-EnergiaSolar[[#This Row],[Consumido]]</f>
        <v>-10.199999999999996</v>
      </c>
      <c r="F470" s="3">
        <f>EnergiaSolar[[#This Row],[Producido]]-EnergiaSolar[[#This Row],[Consumido]]</f>
        <v>-10.199999999999996</v>
      </c>
      <c r="G470" s="5" cm="1">
        <f t="array" ref="G470">EnergiaSolar[[#This Row],[Variante ]]*CostPerKwh[Precio Promedio Kwh]</f>
        <v>-3.1619999999999986</v>
      </c>
    </row>
    <row r="471" spans="1:7" x14ac:dyDescent="0.25">
      <c r="A471" s="2">
        <v>45144</v>
      </c>
      <c r="B471">
        <v>7</v>
      </c>
      <c r="C471" s="3">
        <v>17.600000000000001</v>
      </c>
      <c r="D471" s="3">
        <v>44.3</v>
      </c>
      <c r="E471" s="5">
        <f>EnergiaSolar[[#This Row],[Producido]]-EnergiaSolar[[#This Row],[Consumido]]</f>
        <v>-26.699999999999996</v>
      </c>
      <c r="F471" s="3">
        <f>EnergiaSolar[[#This Row],[Producido]]-EnergiaSolar[[#This Row],[Consumido]]</f>
        <v>-26.699999999999996</v>
      </c>
      <c r="G471" s="5" cm="1">
        <f t="array" ref="G471">EnergiaSolar[[#This Row],[Variante ]]*CostPerKwh[Precio Promedio Kwh]</f>
        <v>-8.2769999999999992</v>
      </c>
    </row>
    <row r="472" spans="1:7" x14ac:dyDescent="0.25">
      <c r="A472" s="2">
        <v>45145</v>
      </c>
      <c r="B472">
        <v>7</v>
      </c>
      <c r="C472" s="3">
        <v>15.8</v>
      </c>
      <c r="D472" s="3">
        <v>30.6</v>
      </c>
      <c r="E472" s="5">
        <f>EnergiaSolar[[#This Row],[Producido]]-EnergiaSolar[[#This Row],[Consumido]]</f>
        <v>-14.8</v>
      </c>
      <c r="F472" s="3">
        <f>EnergiaSolar[[#This Row],[Producido]]-EnergiaSolar[[#This Row],[Consumido]]</f>
        <v>-14.8</v>
      </c>
      <c r="G472" s="5" cm="1">
        <f t="array" ref="G472">EnergiaSolar[[#This Row],[Variante ]]*CostPerKwh[Precio Promedio Kwh]</f>
        <v>-4.5880000000000001</v>
      </c>
    </row>
    <row r="473" spans="1:7" x14ac:dyDescent="0.25">
      <c r="A473" s="2">
        <v>45146</v>
      </c>
      <c r="B473">
        <v>7</v>
      </c>
      <c r="C473" s="3">
        <v>12.3</v>
      </c>
      <c r="D473" s="3">
        <v>30.9</v>
      </c>
      <c r="E473" s="5">
        <f>EnergiaSolar[[#This Row],[Producido]]-EnergiaSolar[[#This Row],[Consumido]]</f>
        <v>-18.599999999999998</v>
      </c>
      <c r="F473" s="3">
        <f>EnergiaSolar[[#This Row],[Producido]]-EnergiaSolar[[#This Row],[Consumido]]</f>
        <v>-18.599999999999998</v>
      </c>
      <c r="G473" s="5" cm="1">
        <f t="array" ref="G473">EnergiaSolar[[#This Row],[Variante ]]*CostPerKwh[Precio Promedio Kwh]</f>
        <v>-5.7659999999999991</v>
      </c>
    </row>
    <row r="474" spans="1:7" x14ac:dyDescent="0.25">
      <c r="A474" s="2">
        <v>45147</v>
      </c>
      <c r="B474">
        <v>7</v>
      </c>
      <c r="C474" s="3">
        <v>14.5</v>
      </c>
      <c r="D474" s="3">
        <v>30.5</v>
      </c>
      <c r="E474" s="5">
        <f>EnergiaSolar[[#This Row],[Producido]]-EnergiaSolar[[#This Row],[Consumido]]</f>
        <v>-16</v>
      </c>
      <c r="F474" s="3">
        <f>EnergiaSolar[[#This Row],[Producido]]-EnergiaSolar[[#This Row],[Consumido]]</f>
        <v>-16</v>
      </c>
      <c r="G474" s="5" cm="1">
        <f t="array" ref="G474">EnergiaSolar[[#This Row],[Variante ]]*CostPerKwh[Precio Promedio Kwh]</f>
        <v>-4.96</v>
      </c>
    </row>
    <row r="475" spans="1:7" x14ac:dyDescent="0.25">
      <c r="A475" s="2">
        <v>45148</v>
      </c>
      <c r="B475">
        <v>7</v>
      </c>
      <c r="C475" s="3">
        <v>21.8</v>
      </c>
      <c r="D475" s="3">
        <v>35.1</v>
      </c>
      <c r="E475" s="5">
        <f>EnergiaSolar[[#This Row],[Producido]]-EnergiaSolar[[#This Row],[Consumido]]</f>
        <v>-13.3</v>
      </c>
      <c r="F475" s="3">
        <f>EnergiaSolar[[#This Row],[Producido]]-EnergiaSolar[[#This Row],[Consumido]]</f>
        <v>-13.3</v>
      </c>
      <c r="G475" s="5" cm="1">
        <f t="array" ref="G475">EnergiaSolar[[#This Row],[Variante ]]*CostPerKwh[Precio Promedio Kwh]</f>
        <v>-4.1230000000000002</v>
      </c>
    </row>
    <row r="476" spans="1:7" x14ac:dyDescent="0.25">
      <c r="A476" s="2">
        <v>45149</v>
      </c>
      <c r="B476">
        <v>7</v>
      </c>
      <c r="C476" s="3">
        <v>25.2</v>
      </c>
      <c r="D476" s="3">
        <v>37.1</v>
      </c>
      <c r="E476" s="5">
        <f>EnergiaSolar[[#This Row],[Producido]]-EnergiaSolar[[#This Row],[Consumido]]</f>
        <v>-11.900000000000002</v>
      </c>
      <c r="F476" s="3">
        <f>EnergiaSolar[[#This Row],[Producido]]-EnergiaSolar[[#This Row],[Consumido]]</f>
        <v>-11.900000000000002</v>
      </c>
      <c r="G476" s="5" cm="1">
        <f t="array" ref="G476">EnergiaSolar[[#This Row],[Variante ]]*CostPerKwh[Precio Promedio Kwh]</f>
        <v>-3.6890000000000005</v>
      </c>
    </row>
    <row r="477" spans="1:7" x14ac:dyDescent="0.25">
      <c r="A477" s="2">
        <v>45150</v>
      </c>
      <c r="B477">
        <v>7</v>
      </c>
      <c r="C477" s="3">
        <v>22</v>
      </c>
      <c r="D477" s="3">
        <v>28.2</v>
      </c>
      <c r="E477" s="5">
        <f>EnergiaSolar[[#This Row],[Producido]]-EnergiaSolar[[#This Row],[Consumido]]</f>
        <v>-6.1999999999999993</v>
      </c>
      <c r="F477" s="3">
        <f>EnergiaSolar[[#This Row],[Producido]]-EnergiaSolar[[#This Row],[Consumido]]</f>
        <v>-6.1999999999999993</v>
      </c>
      <c r="G477" s="5" cm="1">
        <f t="array" ref="G477">EnergiaSolar[[#This Row],[Variante ]]*CostPerKwh[Precio Promedio Kwh]</f>
        <v>-1.9219999999999997</v>
      </c>
    </row>
    <row r="478" spans="1:7" x14ac:dyDescent="0.25">
      <c r="A478" s="2">
        <v>45151</v>
      </c>
      <c r="B478">
        <v>8</v>
      </c>
      <c r="C478" s="3">
        <v>25.7</v>
      </c>
      <c r="D478" s="3">
        <v>40.1</v>
      </c>
      <c r="E478" s="5">
        <f>EnergiaSolar[[#This Row],[Producido]]-EnergiaSolar[[#This Row],[Consumido]]</f>
        <v>-14.400000000000002</v>
      </c>
      <c r="F478" s="3">
        <f>EnergiaSolar[[#This Row],[Producido]]-EnergiaSolar[[#This Row],[Consumido]]</f>
        <v>-14.400000000000002</v>
      </c>
      <c r="G478" s="5" cm="1">
        <f t="array" ref="G478">EnergiaSolar[[#This Row],[Variante ]]*CostPerKwh[Precio Promedio Kwh]</f>
        <v>-4.4640000000000004</v>
      </c>
    </row>
    <row r="479" spans="1:7" x14ac:dyDescent="0.25">
      <c r="A479" s="2">
        <v>45152</v>
      </c>
      <c r="B479">
        <v>8</v>
      </c>
      <c r="C479" s="3">
        <v>32.6</v>
      </c>
      <c r="D479" s="3">
        <v>35.299999999999997</v>
      </c>
      <c r="E479" s="5">
        <f>EnergiaSolar[[#This Row],[Producido]]-EnergiaSolar[[#This Row],[Consumido]]</f>
        <v>-2.6999999999999957</v>
      </c>
      <c r="F479" s="3">
        <f>EnergiaSolar[[#This Row],[Producido]]-EnergiaSolar[[#This Row],[Consumido]]</f>
        <v>-2.6999999999999957</v>
      </c>
      <c r="G479" s="5" cm="1">
        <f t="array" ref="G479">EnergiaSolar[[#This Row],[Variante ]]*CostPerKwh[Precio Promedio Kwh]</f>
        <v>-0.83699999999999863</v>
      </c>
    </row>
    <row r="480" spans="1:7" x14ac:dyDescent="0.25">
      <c r="A480" s="2">
        <v>45153</v>
      </c>
      <c r="B480">
        <v>8</v>
      </c>
      <c r="C480" s="3">
        <v>28</v>
      </c>
      <c r="D480" s="3">
        <v>32</v>
      </c>
      <c r="E480" s="5">
        <f>EnergiaSolar[[#This Row],[Producido]]-EnergiaSolar[[#This Row],[Consumido]]</f>
        <v>-4</v>
      </c>
      <c r="F480" s="3">
        <f>EnergiaSolar[[#This Row],[Producido]]-EnergiaSolar[[#This Row],[Consumido]]</f>
        <v>-4</v>
      </c>
      <c r="G480" s="5" cm="1">
        <f t="array" ref="G480">EnergiaSolar[[#This Row],[Variante ]]*CostPerKwh[Precio Promedio Kwh]</f>
        <v>-1.24</v>
      </c>
    </row>
    <row r="481" spans="1:7" x14ac:dyDescent="0.25">
      <c r="A481" s="2">
        <v>45154</v>
      </c>
      <c r="B481">
        <v>8</v>
      </c>
      <c r="C481" s="3">
        <v>23.5</v>
      </c>
      <c r="D481" s="3">
        <v>33.9</v>
      </c>
      <c r="E481" s="5">
        <f>EnergiaSolar[[#This Row],[Producido]]-EnergiaSolar[[#This Row],[Consumido]]</f>
        <v>-10.399999999999999</v>
      </c>
      <c r="F481" s="3">
        <f>EnergiaSolar[[#This Row],[Producido]]-EnergiaSolar[[#This Row],[Consumido]]</f>
        <v>-10.399999999999999</v>
      </c>
      <c r="G481" s="5" cm="1">
        <f t="array" ref="G481">EnergiaSolar[[#This Row],[Variante ]]*CostPerKwh[Precio Promedio Kwh]</f>
        <v>-3.2239999999999998</v>
      </c>
    </row>
    <row r="482" spans="1:7" x14ac:dyDescent="0.25">
      <c r="A482" s="2">
        <v>45155</v>
      </c>
      <c r="B482">
        <v>8</v>
      </c>
      <c r="C482" s="3">
        <v>17.899999999999999</v>
      </c>
      <c r="D482" s="3">
        <v>34.1</v>
      </c>
      <c r="E482" s="5">
        <f>EnergiaSolar[[#This Row],[Producido]]-EnergiaSolar[[#This Row],[Consumido]]</f>
        <v>-16.200000000000003</v>
      </c>
      <c r="F482" s="3">
        <f>EnergiaSolar[[#This Row],[Producido]]-EnergiaSolar[[#This Row],[Consumido]]</f>
        <v>-16.200000000000003</v>
      </c>
      <c r="G482" s="5" cm="1">
        <f t="array" ref="G482">EnergiaSolar[[#This Row],[Variante ]]*CostPerKwh[Precio Promedio Kwh]</f>
        <v>-5.0220000000000011</v>
      </c>
    </row>
    <row r="483" spans="1:7" x14ac:dyDescent="0.25">
      <c r="A483" s="2">
        <v>45156</v>
      </c>
      <c r="B483">
        <v>8</v>
      </c>
      <c r="C483" s="3">
        <v>25.4</v>
      </c>
      <c r="D483" s="3">
        <v>36.9</v>
      </c>
      <c r="E483" s="5">
        <f>EnergiaSolar[[#This Row],[Producido]]-EnergiaSolar[[#This Row],[Consumido]]</f>
        <v>-11.5</v>
      </c>
      <c r="F483" s="3">
        <f>EnergiaSolar[[#This Row],[Producido]]-EnergiaSolar[[#This Row],[Consumido]]</f>
        <v>-11.5</v>
      </c>
      <c r="G483" s="5" cm="1">
        <f t="array" ref="G483">EnergiaSolar[[#This Row],[Variante ]]*CostPerKwh[Precio Promedio Kwh]</f>
        <v>-3.5649999999999999</v>
      </c>
    </row>
    <row r="484" spans="1:7" x14ac:dyDescent="0.25">
      <c r="A484" s="2">
        <v>45157</v>
      </c>
      <c r="B484">
        <v>8</v>
      </c>
      <c r="C484" s="3">
        <v>29.3</v>
      </c>
      <c r="D484" s="3">
        <v>41.1</v>
      </c>
      <c r="E484" s="5">
        <f>EnergiaSolar[[#This Row],[Producido]]-EnergiaSolar[[#This Row],[Consumido]]</f>
        <v>-11.8</v>
      </c>
      <c r="F484" s="3">
        <f>EnergiaSolar[[#This Row],[Producido]]-EnergiaSolar[[#This Row],[Consumido]]</f>
        <v>-11.8</v>
      </c>
      <c r="G484" s="5" cm="1">
        <f t="array" ref="G484">EnergiaSolar[[#This Row],[Variante ]]*CostPerKwh[Precio Promedio Kwh]</f>
        <v>-3.6580000000000004</v>
      </c>
    </row>
    <row r="485" spans="1:7" x14ac:dyDescent="0.25">
      <c r="A485" s="2">
        <v>45158</v>
      </c>
      <c r="B485">
        <v>8</v>
      </c>
      <c r="C485" s="3">
        <v>25.4</v>
      </c>
      <c r="D485" s="3">
        <v>41.2</v>
      </c>
      <c r="E485" s="5">
        <f>EnergiaSolar[[#This Row],[Producido]]-EnergiaSolar[[#This Row],[Consumido]]</f>
        <v>-15.800000000000004</v>
      </c>
      <c r="F485" s="3">
        <f>EnergiaSolar[[#This Row],[Producido]]-EnergiaSolar[[#This Row],[Consumido]]</f>
        <v>-15.800000000000004</v>
      </c>
      <c r="G485" s="5" cm="1">
        <f t="array" ref="G485">EnergiaSolar[[#This Row],[Variante ]]*CostPerKwh[Precio Promedio Kwh]</f>
        <v>-4.8980000000000015</v>
      </c>
    </row>
    <row r="486" spans="1:7" x14ac:dyDescent="0.25">
      <c r="A486" s="2">
        <v>45159</v>
      </c>
      <c r="B486">
        <v>8</v>
      </c>
      <c r="C486" s="3">
        <v>23.1</v>
      </c>
      <c r="D486" s="3">
        <v>33.4</v>
      </c>
      <c r="E486" s="5">
        <f>EnergiaSolar[[#This Row],[Producido]]-EnergiaSolar[[#This Row],[Consumido]]</f>
        <v>-10.299999999999997</v>
      </c>
      <c r="F486" s="3">
        <f>EnergiaSolar[[#This Row],[Producido]]-EnergiaSolar[[#This Row],[Consumido]]</f>
        <v>-10.299999999999997</v>
      </c>
      <c r="G486" s="5" cm="1">
        <f t="array" ref="G486">EnergiaSolar[[#This Row],[Variante ]]*CostPerKwh[Precio Promedio Kwh]</f>
        <v>-3.1929999999999992</v>
      </c>
    </row>
    <row r="487" spans="1:7" x14ac:dyDescent="0.25">
      <c r="A487" s="2">
        <v>45160</v>
      </c>
      <c r="B487">
        <v>8</v>
      </c>
      <c r="C487" s="3">
        <v>10.8</v>
      </c>
      <c r="D487" s="3">
        <v>30.6</v>
      </c>
      <c r="E487" s="5">
        <f>EnergiaSolar[[#This Row],[Producido]]-EnergiaSolar[[#This Row],[Consumido]]</f>
        <v>-19.8</v>
      </c>
      <c r="F487" s="3">
        <f>EnergiaSolar[[#This Row],[Producido]]-EnergiaSolar[[#This Row],[Consumido]]</f>
        <v>-19.8</v>
      </c>
      <c r="G487" s="5" cm="1">
        <f t="array" ref="G487">EnergiaSolar[[#This Row],[Variante ]]*CostPerKwh[Precio Promedio Kwh]</f>
        <v>-6.1379999999999999</v>
      </c>
    </row>
    <row r="488" spans="1:7" x14ac:dyDescent="0.25">
      <c r="A488" s="2">
        <v>45161</v>
      </c>
      <c r="B488">
        <v>8</v>
      </c>
      <c r="C488" s="3">
        <v>13.7</v>
      </c>
      <c r="D488" s="3">
        <v>30.9</v>
      </c>
      <c r="E488" s="5">
        <f>EnergiaSolar[[#This Row],[Producido]]-EnergiaSolar[[#This Row],[Consumido]]</f>
        <v>-17.2</v>
      </c>
      <c r="F488" s="3">
        <f>EnergiaSolar[[#This Row],[Producido]]-EnergiaSolar[[#This Row],[Consumido]]</f>
        <v>-17.2</v>
      </c>
      <c r="G488" s="5" cm="1">
        <f t="array" ref="G488">EnergiaSolar[[#This Row],[Variante ]]*CostPerKwh[Precio Promedio Kwh]</f>
        <v>-5.3319999999999999</v>
      </c>
    </row>
    <row r="489" spans="1:7" x14ac:dyDescent="0.25">
      <c r="A489" s="2">
        <v>45162</v>
      </c>
      <c r="B489">
        <v>8</v>
      </c>
      <c r="C489" s="3">
        <v>30.2</v>
      </c>
      <c r="D489" s="3">
        <v>41.8</v>
      </c>
      <c r="E489" s="5">
        <f>EnergiaSolar[[#This Row],[Producido]]-EnergiaSolar[[#This Row],[Consumido]]</f>
        <v>-11.599999999999998</v>
      </c>
      <c r="F489" s="3">
        <f>EnergiaSolar[[#This Row],[Producido]]-EnergiaSolar[[#This Row],[Consumido]]</f>
        <v>-11.599999999999998</v>
      </c>
      <c r="G489" s="5" cm="1">
        <f t="array" ref="G489">EnergiaSolar[[#This Row],[Variante ]]*CostPerKwh[Precio Promedio Kwh]</f>
        <v>-3.5959999999999992</v>
      </c>
    </row>
    <row r="490" spans="1:7" x14ac:dyDescent="0.25">
      <c r="A490" s="2">
        <v>45163</v>
      </c>
      <c r="B490">
        <v>8</v>
      </c>
      <c r="C490" s="3">
        <v>10.9</v>
      </c>
      <c r="D490" s="3">
        <v>28.9</v>
      </c>
      <c r="E490" s="5">
        <f>EnergiaSolar[[#This Row],[Producido]]-EnergiaSolar[[#This Row],[Consumido]]</f>
        <v>-18</v>
      </c>
      <c r="F490" s="3">
        <f>EnergiaSolar[[#This Row],[Producido]]-EnergiaSolar[[#This Row],[Consumido]]</f>
        <v>-18</v>
      </c>
      <c r="G490" s="5" cm="1">
        <f t="array" ref="G490">EnergiaSolar[[#This Row],[Variante ]]*CostPerKwh[Precio Promedio Kwh]</f>
        <v>-5.58</v>
      </c>
    </row>
    <row r="491" spans="1:7" x14ac:dyDescent="0.25">
      <c r="A491" s="2">
        <v>45164</v>
      </c>
      <c r="B491">
        <v>8</v>
      </c>
      <c r="C491" s="3">
        <v>20</v>
      </c>
      <c r="D491" s="3">
        <v>33.6</v>
      </c>
      <c r="E491" s="5">
        <f>EnergiaSolar[[#This Row],[Producido]]-EnergiaSolar[[#This Row],[Consumido]]</f>
        <v>-13.600000000000001</v>
      </c>
      <c r="F491" s="3">
        <f>EnergiaSolar[[#This Row],[Producido]]-EnergiaSolar[[#This Row],[Consumido]]</f>
        <v>-13.600000000000001</v>
      </c>
      <c r="G491" s="5" cm="1">
        <f t="array" ref="G491">EnergiaSolar[[#This Row],[Variante ]]*CostPerKwh[Precio Promedio Kwh]</f>
        <v>-4.2160000000000002</v>
      </c>
    </row>
    <row r="492" spans="1:7" x14ac:dyDescent="0.25">
      <c r="A492" s="2">
        <v>45165</v>
      </c>
      <c r="B492">
        <v>8</v>
      </c>
      <c r="C492" s="3">
        <v>31.4</v>
      </c>
      <c r="D492" s="3">
        <v>44.5</v>
      </c>
      <c r="E492" s="5">
        <f>EnergiaSolar[[#This Row],[Producido]]-EnergiaSolar[[#This Row],[Consumido]]</f>
        <v>-13.100000000000001</v>
      </c>
      <c r="F492" s="3">
        <f>EnergiaSolar[[#This Row],[Producido]]-EnergiaSolar[[#This Row],[Consumido]]</f>
        <v>-13.100000000000001</v>
      </c>
      <c r="G492" s="5" cm="1">
        <f t="array" ref="G492">EnergiaSolar[[#This Row],[Variante ]]*CostPerKwh[Precio Promedio Kwh]</f>
        <v>-4.0610000000000008</v>
      </c>
    </row>
    <row r="493" spans="1:7" x14ac:dyDescent="0.25">
      <c r="A493" s="2">
        <v>45166</v>
      </c>
      <c r="B493">
        <v>8</v>
      </c>
      <c r="C493" s="3">
        <v>31</v>
      </c>
      <c r="D493" s="3">
        <v>34</v>
      </c>
      <c r="E493" s="5">
        <f>EnergiaSolar[[#This Row],[Producido]]-EnergiaSolar[[#This Row],[Consumido]]</f>
        <v>-3</v>
      </c>
      <c r="F493" s="3">
        <f>EnergiaSolar[[#This Row],[Producido]]-EnergiaSolar[[#This Row],[Consumido]]</f>
        <v>-3</v>
      </c>
      <c r="G493" s="5" cm="1">
        <f t="array" ref="G493">EnergiaSolar[[#This Row],[Variante ]]*CostPerKwh[Precio Promedio Kwh]</f>
        <v>-0.92999999999999994</v>
      </c>
    </row>
    <row r="494" spans="1:7" x14ac:dyDescent="0.25">
      <c r="A494" s="2">
        <v>45167</v>
      </c>
      <c r="B494">
        <v>8</v>
      </c>
      <c r="C494" s="3">
        <v>27.7</v>
      </c>
      <c r="D494" s="3">
        <v>30.1</v>
      </c>
      <c r="E494" s="5">
        <f>EnergiaSolar[[#This Row],[Producido]]-EnergiaSolar[[#This Row],[Consumido]]</f>
        <v>-2.4000000000000021</v>
      </c>
      <c r="F494" s="3">
        <f>EnergiaSolar[[#This Row],[Producido]]-EnergiaSolar[[#This Row],[Consumido]]</f>
        <v>-2.4000000000000021</v>
      </c>
      <c r="G494" s="5" cm="1">
        <f t="array" ref="G494">EnergiaSolar[[#This Row],[Variante ]]*CostPerKwh[Precio Promedio Kwh]</f>
        <v>-0.74400000000000066</v>
      </c>
    </row>
    <row r="495" spans="1:7" x14ac:dyDescent="0.25">
      <c r="A495" s="2">
        <v>45168</v>
      </c>
      <c r="B495">
        <v>8</v>
      </c>
      <c r="C495" s="3">
        <v>27.8</v>
      </c>
      <c r="D495" s="3">
        <v>30</v>
      </c>
      <c r="E495" s="5">
        <f>EnergiaSolar[[#This Row],[Producido]]-EnergiaSolar[[#This Row],[Consumido]]</f>
        <v>-2.1999999999999993</v>
      </c>
      <c r="F495" s="3">
        <f>EnergiaSolar[[#This Row],[Producido]]-EnergiaSolar[[#This Row],[Consumido]]</f>
        <v>-2.1999999999999993</v>
      </c>
      <c r="G495" s="5" cm="1">
        <f t="array" ref="G495">EnergiaSolar[[#This Row],[Variante ]]*CostPerKwh[Precio Promedio Kwh]</f>
        <v>-0.68199999999999983</v>
      </c>
    </row>
    <row r="496" spans="1:7" x14ac:dyDescent="0.25">
      <c r="A496" s="2">
        <v>45169</v>
      </c>
      <c r="B496">
        <v>8</v>
      </c>
      <c r="C496" s="3">
        <v>23.6</v>
      </c>
      <c r="D496" s="3">
        <v>31.5</v>
      </c>
      <c r="E496" s="5">
        <f>EnergiaSolar[[#This Row],[Producido]]-EnergiaSolar[[#This Row],[Consumido]]</f>
        <v>-7.8999999999999986</v>
      </c>
      <c r="F496" s="3">
        <f>EnergiaSolar[[#This Row],[Producido]]-EnergiaSolar[[#This Row],[Consumido]]</f>
        <v>-7.8999999999999986</v>
      </c>
      <c r="G496" s="5" cm="1">
        <f t="array" ref="G496">EnergiaSolar[[#This Row],[Variante ]]*CostPerKwh[Precio Promedio Kwh]</f>
        <v>-2.4489999999999994</v>
      </c>
    </row>
    <row r="497" spans="1:7" x14ac:dyDescent="0.25">
      <c r="A497" s="2">
        <v>45170</v>
      </c>
      <c r="B497">
        <v>8</v>
      </c>
      <c r="C497" s="3">
        <v>28.9</v>
      </c>
      <c r="D497" s="3">
        <v>32</v>
      </c>
      <c r="E497" s="5">
        <f>EnergiaSolar[[#This Row],[Producido]]-EnergiaSolar[[#This Row],[Consumido]]</f>
        <v>-3.1000000000000014</v>
      </c>
      <c r="F497" s="3">
        <f>EnergiaSolar[[#This Row],[Producido]]-EnergiaSolar[[#This Row],[Consumido]]</f>
        <v>-3.1000000000000014</v>
      </c>
      <c r="G497" s="5" cm="1">
        <f t="array" ref="G497">EnergiaSolar[[#This Row],[Variante ]]*CostPerKwh[Precio Promedio Kwh]</f>
        <v>-0.96100000000000041</v>
      </c>
    </row>
    <row r="498" spans="1:7" x14ac:dyDescent="0.25">
      <c r="A498" s="2">
        <v>45171</v>
      </c>
      <c r="B498">
        <v>8</v>
      </c>
      <c r="C498" s="3">
        <v>26.3</v>
      </c>
      <c r="D498" s="3">
        <v>35.9</v>
      </c>
      <c r="E498" s="5">
        <f>EnergiaSolar[[#This Row],[Producido]]-EnergiaSolar[[#This Row],[Consumido]]</f>
        <v>-9.5999999999999979</v>
      </c>
      <c r="F498" s="3">
        <f>EnergiaSolar[[#This Row],[Producido]]-EnergiaSolar[[#This Row],[Consumido]]</f>
        <v>-9.5999999999999979</v>
      </c>
      <c r="G498" s="5" cm="1">
        <f t="array" ref="G498">EnergiaSolar[[#This Row],[Variante ]]*CostPerKwh[Precio Promedio Kwh]</f>
        <v>-2.9759999999999995</v>
      </c>
    </row>
    <row r="499" spans="1:7" x14ac:dyDescent="0.25">
      <c r="A499" s="2">
        <v>45172</v>
      </c>
      <c r="B499">
        <v>8</v>
      </c>
      <c r="C499" s="3">
        <v>18</v>
      </c>
      <c r="D499" s="3">
        <v>39.1</v>
      </c>
      <c r="E499" s="5">
        <f>EnergiaSolar[[#This Row],[Producido]]-EnergiaSolar[[#This Row],[Consumido]]</f>
        <v>-21.1</v>
      </c>
      <c r="F499" s="3">
        <f>EnergiaSolar[[#This Row],[Producido]]-EnergiaSolar[[#This Row],[Consumido]]</f>
        <v>-21.1</v>
      </c>
      <c r="G499" s="5" cm="1">
        <f t="array" ref="G499">EnergiaSolar[[#This Row],[Variante ]]*CostPerKwh[Precio Promedio Kwh]</f>
        <v>-6.5410000000000004</v>
      </c>
    </row>
    <row r="500" spans="1:7" x14ac:dyDescent="0.25">
      <c r="A500" s="2">
        <v>45173</v>
      </c>
      <c r="B500">
        <v>8</v>
      </c>
      <c r="C500" s="3">
        <v>20.7</v>
      </c>
      <c r="D500" s="3">
        <v>36.299999999999997</v>
      </c>
      <c r="E500" s="5">
        <f>EnergiaSolar[[#This Row],[Producido]]-EnergiaSolar[[#This Row],[Consumido]]</f>
        <v>-15.599999999999998</v>
      </c>
      <c r="F500" s="3">
        <f>EnergiaSolar[[#This Row],[Producido]]-EnergiaSolar[[#This Row],[Consumido]]</f>
        <v>-15.599999999999998</v>
      </c>
      <c r="G500" s="5" cm="1">
        <f t="array" ref="G500">EnergiaSolar[[#This Row],[Variante ]]*CostPerKwh[Precio Promedio Kwh]</f>
        <v>-4.8359999999999994</v>
      </c>
    </row>
    <row r="501" spans="1:7" x14ac:dyDescent="0.25">
      <c r="A501" s="2">
        <v>45174</v>
      </c>
      <c r="B501">
        <v>8</v>
      </c>
      <c r="C501" s="3">
        <v>32.700000000000003</v>
      </c>
      <c r="D501" s="3">
        <v>31.8</v>
      </c>
      <c r="E501" s="5">
        <f>EnergiaSolar[[#This Row],[Producido]]-EnergiaSolar[[#This Row],[Consumido]]</f>
        <v>0.90000000000000213</v>
      </c>
      <c r="F501" s="3">
        <f>EnergiaSolar[[#This Row],[Producido]]-EnergiaSolar[[#This Row],[Consumido]]</f>
        <v>0.90000000000000213</v>
      </c>
      <c r="G501" s="5" cm="1">
        <f t="array" ref="G501">EnergiaSolar[[#This Row],[Variante ]]*CostPerKwh[Precio Promedio Kwh]</f>
        <v>0.27900000000000064</v>
      </c>
    </row>
    <row r="502" spans="1:7" x14ac:dyDescent="0.25">
      <c r="A502" s="2">
        <v>45175</v>
      </c>
      <c r="B502">
        <v>8</v>
      </c>
      <c r="C502" s="3">
        <v>33.1</v>
      </c>
      <c r="D502" s="3">
        <v>33.700000000000003</v>
      </c>
      <c r="E502" s="5">
        <f>EnergiaSolar[[#This Row],[Producido]]-EnergiaSolar[[#This Row],[Consumido]]</f>
        <v>-0.60000000000000142</v>
      </c>
      <c r="F502" s="3">
        <f>EnergiaSolar[[#This Row],[Producido]]-EnergiaSolar[[#This Row],[Consumido]]</f>
        <v>-0.60000000000000142</v>
      </c>
      <c r="G502" s="5" cm="1">
        <f t="array" ref="G502">EnergiaSolar[[#This Row],[Variante ]]*CostPerKwh[Precio Promedio Kwh]</f>
        <v>-0.18600000000000044</v>
      </c>
    </row>
    <row r="503" spans="1:7" x14ac:dyDescent="0.25">
      <c r="A503" s="2">
        <v>45176</v>
      </c>
      <c r="B503">
        <v>8</v>
      </c>
      <c r="C503" s="3">
        <v>30.1</v>
      </c>
      <c r="D503" s="3">
        <v>32.200000000000003</v>
      </c>
      <c r="E503" s="5">
        <f>EnergiaSolar[[#This Row],[Producido]]-EnergiaSolar[[#This Row],[Consumido]]</f>
        <v>-2.1000000000000014</v>
      </c>
      <c r="F503" s="3">
        <f>EnergiaSolar[[#This Row],[Producido]]-EnergiaSolar[[#This Row],[Consumido]]</f>
        <v>-2.1000000000000014</v>
      </c>
      <c r="G503" s="5" cm="1">
        <f t="array" ref="G503">EnergiaSolar[[#This Row],[Variante ]]*CostPerKwh[Precio Promedio Kwh]</f>
        <v>-0.65100000000000047</v>
      </c>
    </row>
    <row r="504" spans="1:7" x14ac:dyDescent="0.25">
      <c r="A504" s="2">
        <v>45177</v>
      </c>
      <c r="B504">
        <v>8</v>
      </c>
      <c r="C504" s="3">
        <v>31.4</v>
      </c>
      <c r="D504" s="3">
        <v>42.4</v>
      </c>
      <c r="E504" s="5">
        <f>EnergiaSolar[[#This Row],[Producido]]-EnergiaSolar[[#This Row],[Consumido]]</f>
        <v>-11</v>
      </c>
      <c r="F504" s="3">
        <f>EnergiaSolar[[#This Row],[Producido]]-EnergiaSolar[[#This Row],[Consumido]]</f>
        <v>-11</v>
      </c>
      <c r="G504" s="5" cm="1">
        <f t="array" ref="G504">EnergiaSolar[[#This Row],[Variante ]]*CostPerKwh[Precio Promedio Kwh]</f>
        <v>-3.41</v>
      </c>
    </row>
    <row r="505" spans="1:7" x14ac:dyDescent="0.25">
      <c r="A505" s="2">
        <v>45178</v>
      </c>
      <c r="B505">
        <v>8</v>
      </c>
      <c r="C505" s="3">
        <v>25.5</v>
      </c>
      <c r="D505" s="3">
        <v>43</v>
      </c>
      <c r="E505" s="5">
        <f>EnergiaSolar[[#This Row],[Producido]]-EnergiaSolar[[#This Row],[Consumido]]</f>
        <v>-17.5</v>
      </c>
      <c r="F505" s="3">
        <f>EnergiaSolar[[#This Row],[Producido]]-EnergiaSolar[[#This Row],[Consumido]]</f>
        <v>-17.5</v>
      </c>
      <c r="G505" s="5" cm="1">
        <f t="array" ref="G505">EnergiaSolar[[#This Row],[Variante ]]*CostPerKwh[Precio Promedio Kwh]</f>
        <v>-5.4249999999999998</v>
      </c>
    </row>
    <row r="506" spans="1:7" x14ac:dyDescent="0.25">
      <c r="A506" s="2">
        <v>45179</v>
      </c>
      <c r="B506">
        <v>8</v>
      </c>
      <c r="C506" s="3">
        <v>28.1</v>
      </c>
      <c r="D506" s="3">
        <v>39.799999999999997</v>
      </c>
      <c r="E506" s="5">
        <f>EnergiaSolar[[#This Row],[Producido]]-EnergiaSolar[[#This Row],[Consumido]]</f>
        <v>-11.699999999999996</v>
      </c>
      <c r="F506" s="3">
        <f>EnergiaSolar[[#This Row],[Producido]]-EnergiaSolar[[#This Row],[Consumido]]</f>
        <v>-11.699999999999996</v>
      </c>
      <c r="G506" s="5" cm="1">
        <f t="array" ref="G506">EnergiaSolar[[#This Row],[Variante ]]*CostPerKwh[Precio Promedio Kwh]</f>
        <v>-3.6269999999999984</v>
      </c>
    </row>
    <row r="507" spans="1:7" x14ac:dyDescent="0.25">
      <c r="A507" s="2">
        <v>45180</v>
      </c>
      <c r="B507">
        <v>8</v>
      </c>
      <c r="C507" s="3">
        <v>32</v>
      </c>
      <c r="D507" s="3">
        <v>40.9</v>
      </c>
      <c r="E507" s="5">
        <f>EnergiaSolar[[#This Row],[Producido]]-EnergiaSolar[[#This Row],[Consumido]]</f>
        <v>-8.8999999999999986</v>
      </c>
      <c r="F507" s="3">
        <f>EnergiaSolar[[#This Row],[Producido]]-EnergiaSolar[[#This Row],[Consumido]]</f>
        <v>-8.8999999999999986</v>
      </c>
      <c r="G507" s="5" cm="1">
        <f t="array" ref="G507">EnergiaSolar[[#This Row],[Variante ]]*CostPerKwh[Precio Promedio Kwh]</f>
        <v>-2.7589999999999995</v>
      </c>
    </row>
    <row r="508" spans="1:7" x14ac:dyDescent="0.25">
      <c r="A508" s="2">
        <v>45181</v>
      </c>
      <c r="B508">
        <v>8</v>
      </c>
      <c r="C508" s="3">
        <v>28.4</v>
      </c>
      <c r="D508" s="3">
        <v>36.799999999999997</v>
      </c>
      <c r="E508" s="5">
        <f>EnergiaSolar[[#This Row],[Producido]]-EnergiaSolar[[#This Row],[Consumido]]</f>
        <v>-8.3999999999999986</v>
      </c>
      <c r="F508" s="3">
        <f>EnergiaSolar[[#This Row],[Producido]]-EnergiaSolar[[#This Row],[Consumido]]</f>
        <v>-8.3999999999999986</v>
      </c>
      <c r="G508" s="5" cm="1">
        <f t="array" ref="G508">EnergiaSolar[[#This Row],[Variante ]]*CostPerKwh[Precio Promedio Kwh]</f>
        <v>-2.6039999999999996</v>
      </c>
    </row>
    <row r="509" spans="1:7" x14ac:dyDescent="0.25">
      <c r="A509" s="2">
        <v>45182</v>
      </c>
      <c r="B509">
        <v>9</v>
      </c>
      <c r="C509" s="3">
        <v>27.9</v>
      </c>
      <c r="D509" s="3">
        <v>45</v>
      </c>
      <c r="E509" s="5">
        <f>EnergiaSolar[[#This Row],[Producido]]-EnergiaSolar[[#This Row],[Consumido]]</f>
        <v>-17.100000000000001</v>
      </c>
      <c r="F509" s="3">
        <f>EnergiaSolar[[#This Row],[Producido]]-EnergiaSolar[[#This Row],[Consumido]]</f>
        <v>-17.100000000000001</v>
      </c>
      <c r="G509" s="5" cm="1">
        <f t="array" ref="G509">EnergiaSolar[[#This Row],[Variante ]]*CostPerKwh[Precio Promedio Kwh]</f>
        <v>-5.3010000000000002</v>
      </c>
    </row>
    <row r="510" spans="1:7" x14ac:dyDescent="0.25">
      <c r="A510" s="2">
        <v>45183</v>
      </c>
      <c r="B510">
        <v>9</v>
      </c>
      <c r="C510" s="3">
        <v>30.1</v>
      </c>
      <c r="D510" s="3">
        <v>38.4</v>
      </c>
      <c r="E510" s="5">
        <f>EnergiaSolar[[#This Row],[Producido]]-EnergiaSolar[[#This Row],[Consumido]]</f>
        <v>-8.2999999999999972</v>
      </c>
      <c r="F510" s="3">
        <f>EnergiaSolar[[#This Row],[Producido]]-EnergiaSolar[[#This Row],[Consumido]]</f>
        <v>-8.2999999999999972</v>
      </c>
      <c r="G510" s="5" cm="1">
        <f t="array" ref="G510">EnergiaSolar[[#This Row],[Variante ]]*CostPerKwh[Precio Promedio Kwh]</f>
        <v>-2.5729999999999991</v>
      </c>
    </row>
    <row r="511" spans="1:7" x14ac:dyDescent="0.25">
      <c r="A511" s="2">
        <v>45184</v>
      </c>
      <c r="B511">
        <v>9</v>
      </c>
      <c r="C511" s="3">
        <v>22.2</v>
      </c>
      <c r="D511" s="3">
        <v>40.9</v>
      </c>
      <c r="E511" s="5">
        <f>EnergiaSolar[[#This Row],[Producido]]-EnergiaSolar[[#This Row],[Consumido]]</f>
        <v>-18.7</v>
      </c>
      <c r="F511" s="3">
        <f>EnergiaSolar[[#This Row],[Producido]]-EnergiaSolar[[#This Row],[Consumido]]</f>
        <v>-18.7</v>
      </c>
      <c r="G511" s="5" cm="1">
        <f t="array" ref="G511">EnergiaSolar[[#This Row],[Variante ]]*CostPerKwh[Precio Promedio Kwh]</f>
        <v>-5.7969999999999997</v>
      </c>
    </row>
    <row r="512" spans="1:7" x14ac:dyDescent="0.25">
      <c r="A512" s="2">
        <v>45185</v>
      </c>
      <c r="B512">
        <v>9</v>
      </c>
      <c r="C512" s="3">
        <v>30.7</v>
      </c>
      <c r="D512" s="3">
        <v>39.6</v>
      </c>
      <c r="E512" s="5">
        <f>EnergiaSolar[[#This Row],[Producido]]-EnergiaSolar[[#This Row],[Consumido]]</f>
        <v>-8.9000000000000021</v>
      </c>
      <c r="F512" s="3">
        <f>EnergiaSolar[[#This Row],[Producido]]-EnergiaSolar[[#This Row],[Consumido]]</f>
        <v>-8.9000000000000021</v>
      </c>
      <c r="G512" s="5" cm="1">
        <f t="array" ref="G512">EnergiaSolar[[#This Row],[Variante ]]*CostPerKwh[Precio Promedio Kwh]</f>
        <v>-2.7590000000000008</v>
      </c>
    </row>
    <row r="513" spans="1:7" x14ac:dyDescent="0.25">
      <c r="A513" s="2">
        <v>45186</v>
      </c>
      <c r="B513">
        <v>9</v>
      </c>
      <c r="C513" s="3">
        <v>33</v>
      </c>
      <c r="D513" s="3">
        <v>38</v>
      </c>
      <c r="E513" s="5">
        <f>EnergiaSolar[[#This Row],[Producido]]-EnergiaSolar[[#This Row],[Consumido]]</f>
        <v>-5</v>
      </c>
      <c r="F513" s="3">
        <f>EnergiaSolar[[#This Row],[Producido]]-EnergiaSolar[[#This Row],[Consumido]]</f>
        <v>-5</v>
      </c>
      <c r="G513" s="5" cm="1">
        <f t="array" ref="G513">EnergiaSolar[[#This Row],[Variante ]]*CostPerKwh[Precio Promedio Kwh]</f>
        <v>-1.55</v>
      </c>
    </row>
    <row r="514" spans="1:7" x14ac:dyDescent="0.25">
      <c r="A514" s="2">
        <v>45187</v>
      </c>
      <c r="B514">
        <v>9</v>
      </c>
      <c r="C514" s="3">
        <v>31.6</v>
      </c>
      <c r="D514" s="3">
        <v>37.9</v>
      </c>
      <c r="E514" s="5">
        <f>EnergiaSolar[[#This Row],[Producido]]-EnergiaSolar[[#This Row],[Consumido]]</f>
        <v>-6.2999999999999972</v>
      </c>
      <c r="F514" s="3">
        <f>EnergiaSolar[[#This Row],[Producido]]-EnergiaSolar[[#This Row],[Consumido]]</f>
        <v>-6.2999999999999972</v>
      </c>
      <c r="G514" s="5" cm="1">
        <f t="array" ref="G514">EnergiaSolar[[#This Row],[Variante ]]*CostPerKwh[Precio Promedio Kwh]</f>
        <v>-1.9529999999999992</v>
      </c>
    </row>
    <row r="515" spans="1:7" x14ac:dyDescent="0.25">
      <c r="A515" s="2">
        <v>45188</v>
      </c>
      <c r="B515">
        <v>9</v>
      </c>
      <c r="C515" s="3">
        <v>24.5</v>
      </c>
      <c r="D515" s="3">
        <v>34.5</v>
      </c>
      <c r="E515" s="5">
        <f>EnergiaSolar[[#This Row],[Producido]]-EnergiaSolar[[#This Row],[Consumido]]</f>
        <v>-10</v>
      </c>
      <c r="F515" s="3">
        <f>EnergiaSolar[[#This Row],[Producido]]-EnergiaSolar[[#This Row],[Consumido]]</f>
        <v>-10</v>
      </c>
      <c r="G515" s="5" cm="1">
        <f t="array" ref="G515">EnergiaSolar[[#This Row],[Variante ]]*CostPerKwh[Precio Promedio Kwh]</f>
        <v>-3.1</v>
      </c>
    </row>
    <row r="516" spans="1:7" x14ac:dyDescent="0.25">
      <c r="A516" s="2">
        <v>45189</v>
      </c>
      <c r="B516">
        <v>9</v>
      </c>
      <c r="C516" s="3">
        <v>17.399999999999999</v>
      </c>
      <c r="D516" s="3">
        <v>29.6</v>
      </c>
      <c r="E516" s="5">
        <f>EnergiaSolar[[#This Row],[Producido]]-EnergiaSolar[[#This Row],[Consumido]]</f>
        <v>-12.200000000000003</v>
      </c>
      <c r="F516" s="3">
        <f>EnergiaSolar[[#This Row],[Producido]]-EnergiaSolar[[#This Row],[Consumido]]</f>
        <v>-12.200000000000003</v>
      </c>
      <c r="G516" s="5" cm="1">
        <f t="array" ref="G516">EnergiaSolar[[#This Row],[Variante ]]*CostPerKwh[Precio Promedio Kwh]</f>
        <v>-3.7820000000000009</v>
      </c>
    </row>
    <row r="517" spans="1:7" x14ac:dyDescent="0.25">
      <c r="A517" s="2">
        <v>45190</v>
      </c>
      <c r="B517">
        <v>9</v>
      </c>
      <c r="C517" s="3">
        <v>25.6</v>
      </c>
      <c r="D517" s="3">
        <v>33.200000000000003</v>
      </c>
      <c r="E517" s="5">
        <f>EnergiaSolar[[#This Row],[Producido]]-EnergiaSolar[[#This Row],[Consumido]]</f>
        <v>-7.6000000000000014</v>
      </c>
      <c r="F517" s="3">
        <f>EnergiaSolar[[#This Row],[Producido]]-EnergiaSolar[[#This Row],[Consumido]]</f>
        <v>-7.6000000000000014</v>
      </c>
      <c r="G517" s="5" cm="1">
        <f t="array" ref="G517">EnergiaSolar[[#This Row],[Variante ]]*CostPerKwh[Precio Promedio Kwh]</f>
        <v>-2.3560000000000003</v>
      </c>
    </row>
    <row r="518" spans="1:7" x14ac:dyDescent="0.25">
      <c r="A518" s="2">
        <v>45191</v>
      </c>
      <c r="B518">
        <v>9</v>
      </c>
      <c r="C518" s="3">
        <v>26.1</v>
      </c>
      <c r="D518" s="3">
        <v>28.4</v>
      </c>
      <c r="E518" s="5">
        <f>EnergiaSolar[[#This Row],[Producido]]-EnergiaSolar[[#This Row],[Consumido]]</f>
        <v>-2.2999999999999972</v>
      </c>
      <c r="F518" s="3">
        <f>EnergiaSolar[[#This Row],[Producido]]-EnergiaSolar[[#This Row],[Consumido]]</f>
        <v>-2.2999999999999972</v>
      </c>
      <c r="G518" s="5" cm="1">
        <f t="array" ref="G518">EnergiaSolar[[#This Row],[Variante ]]*CostPerKwh[Precio Promedio Kwh]</f>
        <v>-0.71299999999999908</v>
      </c>
    </row>
    <row r="519" spans="1:7" x14ac:dyDescent="0.25">
      <c r="A519" s="2">
        <v>45192</v>
      </c>
      <c r="B519">
        <v>9</v>
      </c>
      <c r="C519" s="3">
        <v>21.3</v>
      </c>
      <c r="D519" s="3">
        <v>39.4</v>
      </c>
      <c r="E519" s="5">
        <f>EnergiaSolar[[#This Row],[Producido]]-EnergiaSolar[[#This Row],[Consumido]]</f>
        <v>-18.099999999999998</v>
      </c>
      <c r="F519" s="3">
        <f>EnergiaSolar[[#This Row],[Producido]]-EnergiaSolar[[#This Row],[Consumido]]</f>
        <v>-18.099999999999998</v>
      </c>
      <c r="G519" s="5" cm="1">
        <f t="array" ref="G519">EnergiaSolar[[#This Row],[Variante ]]*CostPerKwh[Precio Promedio Kwh]</f>
        <v>-5.6109999999999989</v>
      </c>
    </row>
    <row r="520" spans="1:7" x14ac:dyDescent="0.25">
      <c r="A520" s="2">
        <v>45193</v>
      </c>
      <c r="B520">
        <v>9</v>
      </c>
      <c r="C520" s="3">
        <v>21.4</v>
      </c>
      <c r="D520" s="3">
        <v>38.5</v>
      </c>
      <c r="E520" s="5">
        <f>EnergiaSolar[[#This Row],[Producido]]-EnergiaSolar[[#This Row],[Consumido]]</f>
        <v>-17.100000000000001</v>
      </c>
      <c r="F520" s="3">
        <f>EnergiaSolar[[#This Row],[Producido]]-EnergiaSolar[[#This Row],[Consumido]]</f>
        <v>-17.100000000000001</v>
      </c>
      <c r="G520" s="5" cm="1">
        <f t="array" ref="G520">EnergiaSolar[[#This Row],[Variante ]]*CostPerKwh[Precio Promedio Kwh]</f>
        <v>-5.3010000000000002</v>
      </c>
    </row>
    <row r="521" spans="1:7" x14ac:dyDescent="0.25">
      <c r="A521" s="2">
        <v>45194</v>
      </c>
      <c r="B521">
        <v>9</v>
      </c>
      <c r="C521" s="3">
        <v>26.8</v>
      </c>
      <c r="D521" s="3">
        <v>31.7</v>
      </c>
      <c r="E521" s="5">
        <f>EnergiaSolar[[#This Row],[Producido]]-EnergiaSolar[[#This Row],[Consumido]]</f>
        <v>-4.8999999999999986</v>
      </c>
      <c r="F521" s="3">
        <f>EnergiaSolar[[#This Row],[Producido]]-EnergiaSolar[[#This Row],[Consumido]]</f>
        <v>-4.8999999999999986</v>
      </c>
      <c r="G521" s="5" cm="1">
        <f t="array" ref="G521">EnergiaSolar[[#This Row],[Variante ]]*CostPerKwh[Precio Promedio Kwh]</f>
        <v>-1.5189999999999995</v>
      </c>
    </row>
    <row r="522" spans="1:7" x14ac:dyDescent="0.25">
      <c r="A522" s="2">
        <v>45195</v>
      </c>
      <c r="B522">
        <v>9</v>
      </c>
      <c r="C522" s="3">
        <v>27.9</v>
      </c>
      <c r="D522" s="3">
        <v>33.6</v>
      </c>
      <c r="E522" s="5">
        <f>EnergiaSolar[[#This Row],[Producido]]-EnergiaSolar[[#This Row],[Consumido]]</f>
        <v>-5.7000000000000028</v>
      </c>
      <c r="F522" s="3">
        <f>EnergiaSolar[[#This Row],[Producido]]-EnergiaSolar[[#This Row],[Consumido]]</f>
        <v>-5.7000000000000028</v>
      </c>
      <c r="G522" s="5" cm="1">
        <f t="array" ref="G522">EnergiaSolar[[#This Row],[Variante ]]*CostPerKwh[Precio Promedio Kwh]</f>
        <v>-1.7670000000000008</v>
      </c>
    </row>
    <row r="523" spans="1:7" x14ac:dyDescent="0.25">
      <c r="A523" s="2">
        <v>45196</v>
      </c>
      <c r="B523">
        <v>9</v>
      </c>
      <c r="C523" s="3">
        <v>24.3</v>
      </c>
      <c r="D523" s="3">
        <v>31.9</v>
      </c>
      <c r="E523" s="5">
        <f>EnergiaSolar[[#This Row],[Producido]]-EnergiaSolar[[#This Row],[Consumido]]</f>
        <v>-7.5999999999999979</v>
      </c>
      <c r="F523" s="3">
        <f>EnergiaSolar[[#This Row],[Producido]]-EnergiaSolar[[#This Row],[Consumido]]</f>
        <v>-7.5999999999999979</v>
      </c>
      <c r="G523" s="5" cm="1">
        <f t="array" ref="G523">EnergiaSolar[[#This Row],[Variante ]]*CostPerKwh[Precio Promedio Kwh]</f>
        <v>-2.3559999999999994</v>
      </c>
    </row>
    <row r="524" spans="1:7" x14ac:dyDescent="0.25">
      <c r="A524" s="2">
        <v>45197</v>
      </c>
      <c r="B524">
        <v>9</v>
      </c>
      <c r="C524" s="3">
        <v>28</v>
      </c>
      <c r="D524" s="3">
        <v>33.700000000000003</v>
      </c>
      <c r="E524" s="5">
        <f>EnergiaSolar[[#This Row],[Producido]]-EnergiaSolar[[#This Row],[Consumido]]</f>
        <v>-5.7000000000000028</v>
      </c>
      <c r="F524" s="3">
        <f>EnergiaSolar[[#This Row],[Producido]]-EnergiaSolar[[#This Row],[Consumido]]</f>
        <v>-5.7000000000000028</v>
      </c>
      <c r="G524" s="5" cm="1">
        <f t="array" ref="G524">EnergiaSolar[[#This Row],[Variante ]]*CostPerKwh[Precio Promedio Kwh]</f>
        <v>-1.7670000000000008</v>
      </c>
    </row>
    <row r="525" spans="1:7" x14ac:dyDescent="0.25">
      <c r="A525" s="2">
        <v>45198</v>
      </c>
      <c r="B525">
        <v>9</v>
      </c>
      <c r="C525" s="3">
        <v>26.3</v>
      </c>
      <c r="D525" s="3">
        <v>34.700000000000003</v>
      </c>
      <c r="E525" s="5">
        <f>EnergiaSolar[[#This Row],[Producido]]-EnergiaSolar[[#This Row],[Consumido]]</f>
        <v>-8.4000000000000021</v>
      </c>
      <c r="F525" s="3">
        <f>EnergiaSolar[[#This Row],[Producido]]-EnergiaSolar[[#This Row],[Consumido]]</f>
        <v>-8.4000000000000021</v>
      </c>
      <c r="G525" s="5" cm="1">
        <f t="array" ref="G525">EnergiaSolar[[#This Row],[Variante ]]*CostPerKwh[Precio Promedio Kwh]</f>
        <v>-2.6040000000000005</v>
      </c>
    </row>
    <row r="526" spans="1:7" x14ac:dyDescent="0.25">
      <c r="A526" s="2">
        <v>45199</v>
      </c>
      <c r="B526">
        <v>9</v>
      </c>
      <c r="C526" s="3">
        <v>25.9</v>
      </c>
      <c r="D526" s="3">
        <v>49.6</v>
      </c>
      <c r="E526" s="5">
        <f>EnergiaSolar[[#This Row],[Producido]]-EnergiaSolar[[#This Row],[Consumido]]</f>
        <v>-23.700000000000003</v>
      </c>
      <c r="F526" s="3">
        <f>EnergiaSolar[[#This Row],[Producido]]-EnergiaSolar[[#This Row],[Consumido]]</f>
        <v>-23.700000000000003</v>
      </c>
      <c r="G526" s="5" cm="1">
        <f t="array" ref="G526">EnergiaSolar[[#This Row],[Variante ]]*CostPerKwh[Precio Promedio Kwh]</f>
        <v>-7.3470000000000004</v>
      </c>
    </row>
    <row r="527" spans="1:7" x14ac:dyDescent="0.25">
      <c r="A527" s="2">
        <v>45200</v>
      </c>
      <c r="B527">
        <v>9</v>
      </c>
      <c r="C527" s="3">
        <v>27.3</v>
      </c>
      <c r="D527" s="3">
        <v>51.7</v>
      </c>
      <c r="E527" s="5">
        <f>EnergiaSolar[[#This Row],[Producido]]-EnergiaSolar[[#This Row],[Consumido]]</f>
        <v>-24.400000000000002</v>
      </c>
      <c r="F527" s="3">
        <f>EnergiaSolar[[#This Row],[Producido]]-EnergiaSolar[[#This Row],[Consumido]]</f>
        <v>-24.400000000000002</v>
      </c>
      <c r="G527" s="5" cm="1">
        <f t="array" ref="G527">EnergiaSolar[[#This Row],[Variante ]]*CostPerKwh[Precio Promedio Kwh]</f>
        <v>-7.5640000000000009</v>
      </c>
    </row>
    <row r="528" spans="1:7" x14ac:dyDescent="0.25">
      <c r="A528" s="2">
        <v>45201</v>
      </c>
      <c r="B528">
        <v>9</v>
      </c>
      <c r="C528" s="3">
        <v>27.2</v>
      </c>
      <c r="D528" s="3">
        <v>33</v>
      </c>
      <c r="E528" s="5">
        <f>EnergiaSolar[[#This Row],[Producido]]-EnergiaSolar[[#This Row],[Consumido]]</f>
        <v>-5.8000000000000007</v>
      </c>
      <c r="F528" s="3">
        <f>EnergiaSolar[[#This Row],[Producido]]-EnergiaSolar[[#This Row],[Consumido]]</f>
        <v>-5.8000000000000007</v>
      </c>
      <c r="G528" s="5" cm="1">
        <f t="array" ref="G528">EnergiaSolar[[#This Row],[Variante ]]*CostPerKwh[Precio Promedio Kwh]</f>
        <v>-1.7980000000000003</v>
      </c>
    </row>
    <row r="529" spans="1:7" x14ac:dyDescent="0.25">
      <c r="A529" s="2">
        <v>45202</v>
      </c>
      <c r="B529">
        <v>9</v>
      </c>
      <c r="C529" s="3">
        <v>30.9</v>
      </c>
      <c r="D529" s="3">
        <v>35.4</v>
      </c>
      <c r="E529" s="5">
        <f>EnergiaSolar[[#This Row],[Producido]]-EnergiaSolar[[#This Row],[Consumido]]</f>
        <v>-4.5</v>
      </c>
      <c r="F529" s="3">
        <f>EnergiaSolar[[#This Row],[Producido]]-EnergiaSolar[[#This Row],[Consumido]]</f>
        <v>-4.5</v>
      </c>
      <c r="G529" s="5" cm="1">
        <f t="array" ref="G529">EnergiaSolar[[#This Row],[Variante ]]*CostPerKwh[Precio Promedio Kwh]</f>
        <v>-1.395</v>
      </c>
    </row>
    <row r="530" spans="1:7" x14ac:dyDescent="0.25">
      <c r="A530" s="2">
        <v>45203</v>
      </c>
      <c r="B530">
        <v>9</v>
      </c>
      <c r="C530" s="3">
        <v>22.4</v>
      </c>
      <c r="D530" s="3">
        <v>32.200000000000003</v>
      </c>
      <c r="E530" s="5">
        <f>EnergiaSolar[[#This Row],[Producido]]-EnergiaSolar[[#This Row],[Consumido]]</f>
        <v>-9.8000000000000043</v>
      </c>
      <c r="F530" s="3">
        <f>EnergiaSolar[[#This Row],[Producido]]-EnergiaSolar[[#This Row],[Consumido]]</f>
        <v>-9.8000000000000043</v>
      </c>
      <c r="G530" s="5" cm="1">
        <f t="array" ref="G530">EnergiaSolar[[#This Row],[Variante ]]*CostPerKwh[Precio Promedio Kwh]</f>
        <v>-3.0380000000000011</v>
      </c>
    </row>
    <row r="531" spans="1:7" x14ac:dyDescent="0.25">
      <c r="A531" s="2">
        <v>45204</v>
      </c>
      <c r="B531">
        <v>9</v>
      </c>
      <c r="C531" s="3">
        <v>28.1</v>
      </c>
      <c r="D531" s="3">
        <v>42.8</v>
      </c>
      <c r="E531" s="5">
        <f>EnergiaSolar[[#This Row],[Producido]]-EnergiaSolar[[#This Row],[Consumido]]</f>
        <v>-14.699999999999996</v>
      </c>
      <c r="F531" s="3">
        <f>EnergiaSolar[[#This Row],[Producido]]-EnergiaSolar[[#This Row],[Consumido]]</f>
        <v>-14.699999999999996</v>
      </c>
      <c r="G531" s="5" cm="1">
        <f t="array" ref="G531">EnergiaSolar[[#This Row],[Variante ]]*CostPerKwh[Precio Promedio Kwh]</f>
        <v>-4.5569999999999986</v>
      </c>
    </row>
    <row r="532" spans="1:7" x14ac:dyDescent="0.25">
      <c r="A532" s="2">
        <v>45205</v>
      </c>
      <c r="B532">
        <v>9</v>
      </c>
      <c r="C532" s="3">
        <v>23.2</v>
      </c>
      <c r="D532" s="3">
        <v>42.3</v>
      </c>
      <c r="E532" s="5">
        <f>EnergiaSolar[[#This Row],[Producido]]-EnergiaSolar[[#This Row],[Consumido]]</f>
        <v>-19.099999999999998</v>
      </c>
      <c r="F532" s="3">
        <f>EnergiaSolar[[#This Row],[Producido]]-EnergiaSolar[[#This Row],[Consumido]]</f>
        <v>-19.099999999999998</v>
      </c>
      <c r="G532" s="5" cm="1">
        <f t="array" ref="G532">EnergiaSolar[[#This Row],[Variante ]]*CostPerKwh[Precio Promedio Kwh]</f>
        <v>-5.9209999999999994</v>
      </c>
    </row>
    <row r="533" spans="1:7" x14ac:dyDescent="0.25">
      <c r="A533" s="2">
        <v>45206</v>
      </c>
      <c r="B533">
        <v>9</v>
      </c>
      <c r="C533" s="3">
        <v>28.5</v>
      </c>
      <c r="D533" s="3">
        <v>43</v>
      </c>
      <c r="E533" s="5">
        <f>EnergiaSolar[[#This Row],[Producido]]-EnergiaSolar[[#This Row],[Consumido]]</f>
        <v>-14.5</v>
      </c>
      <c r="F533" s="3">
        <f>EnergiaSolar[[#This Row],[Producido]]-EnergiaSolar[[#This Row],[Consumido]]</f>
        <v>-14.5</v>
      </c>
      <c r="G533" s="5" cm="1">
        <f t="array" ref="G533">EnergiaSolar[[#This Row],[Variante ]]*CostPerKwh[Precio Promedio Kwh]</f>
        <v>-4.4950000000000001</v>
      </c>
    </row>
    <row r="534" spans="1:7" x14ac:dyDescent="0.25">
      <c r="A534" s="2">
        <v>45207</v>
      </c>
      <c r="B534">
        <v>9</v>
      </c>
      <c r="C534" s="3">
        <v>28.7</v>
      </c>
      <c r="D534" s="3">
        <v>36.9</v>
      </c>
      <c r="E534" s="5">
        <f>EnergiaSolar[[#This Row],[Producido]]-EnergiaSolar[[#This Row],[Consumido]]</f>
        <v>-8.1999999999999993</v>
      </c>
      <c r="F534" s="3">
        <f>EnergiaSolar[[#This Row],[Producido]]-EnergiaSolar[[#This Row],[Consumido]]</f>
        <v>-8.1999999999999993</v>
      </c>
      <c r="G534" s="5" cm="1">
        <f t="array" ref="G534">EnergiaSolar[[#This Row],[Variante ]]*CostPerKwh[Precio Promedio Kwh]</f>
        <v>-2.5419999999999998</v>
      </c>
    </row>
    <row r="535" spans="1:7" x14ac:dyDescent="0.25">
      <c r="A535" s="2">
        <v>45208</v>
      </c>
      <c r="B535">
        <v>9</v>
      </c>
      <c r="C535" s="3">
        <v>26.7</v>
      </c>
      <c r="D535" s="3">
        <v>39.1</v>
      </c>
      <c r="E535" s="5">
        <f>EnergiaSolar[[#This Row],[Producido]]-EnergiaSolar[[#This Row],[Consumido]]</f>
        <v>-12.400000000000002</v>
      </c>
      <c r="F535" s="3">
        <f>EnergiaSolar[[#This Row],[Producido]]-EnergiaSolar[[#This Row],[Consumido]]</f>
        <v>-12.400000000000002</v>
      </c>
      <c r="G535" s="5" cm="1">
        <f t="array" ref="G535">EnergiaSolar[[#This Row],[Variante ]]*CostPerKwh[Precio Promedio Kwh]</f>
        <v>-3.8440000000000007</v>
      </c>
    </row>
    <row r="536" spans="1:7" x14ac:dyDescent="0.25">
      <c r="A536" s="2">
        <v>45209</v>
      </c>
      <c r="B536">
        <v>9</v>
      </c>
      <c r="C536" s="3">
        <v>25.8</v>
      </c>
      <c r="D536" s="3">
        <v>33.6</v>
      </c>
      <c r="E536" s="5">
        <f>EnergiaSolar[[#This Row],[Producido]]-EnergiaSolar[[#This Row],[Consumido]]</f>
        <v>-7.8000000000000007</v>
      </c>
      <c r="F536" s="3">
        <f>EnergiaSolar[[#This Row],[Producido]]-EnergiaSolar[[#This Row],[Consumido]]</f>
        <v>-7.8000000000000007</v>
      </c>
      <c r="G536" s="5" cm="1">
        <f t="array" ref="G536">EnergiaSolar[[#This Row],[Variante ]]*CostPerKwh[Precio Promedio Kwh]</f>
        <v>-2.4180000000000001</v>
      </c>
    </row>
    <row r="537" spans="1:7" x14ac:dyDescent="0.25">
      <c r="A537" s="2">
        <v>45210</v>
      </c>
      <c r="B537">
        <v>9</v>
      </c>
      <c r="C537" s="3">
        <v>26.4</v>
      </c>
      <c r="D537" s="3">
        <v>33.5</v>
      </c>
      <c r="E537" s="5">
        <f>EnergiaSolar[[#This Row],[Producido]]-EnergiaSolar[[#This Row],[Consumido]]</f>
        <v>-7.1000000000000014</v>
      </c>
      <c r="F537" s="3">
        <f>EnergiaSolar[[#This Row],[Producido]]-EnergiaSolar[[#This Row],[Consumido]]</f>
        <v>-7.1000000000000014</v>
      </c>
      <c r="G537" s="5" cm="1">
        <f t="array" ref="G537">EnergiaSolar[[#This Row],[Variante ]]*CostPerKwh[Precio Promedio Kwh]</f>
        <v>-2.2010000000000005</v>
      </c>
    </row>
    <row r="538" spans="1:7" x14ac:dyDescent="0.25">
      <c r="A538" s="2">
        <v>45211</v>
      </c>
      <c r="B538">
        <v>9</v>
      </c>
      <c r="C538" s="3">
        <v>24</v>
      </c>
      <c r="D538" s="3">
        <v>37.5</v>
      </c>
      <c r="E538" s="5">
        <f>EnergiaSolar[[#This Row],[Producido]]-EnergiaSolar[[#This Row],[Consumido]]</f>
        <v>-13.5</v>
      </c>
      <c r="F538" s="3">
        <f>EnergiaSolar[[#This Row],[Producido]]-EnergiaSolar[[#This Row],[Consumido]]</f>
        <v>-13.5</v>
      </c>
      <c r="G538" s="5" cm="1">
        <f t="array" ref="G538">EnergiaSolar[[#This Row],[Variante ]]*CostPerKwh[Precio Promedio Kwh]</f>
        <v>-4.1849999999999996</v>
      </c>
    </row>
    <row r="539" spans="1:7" x14ac:dyDescent="0.25">
      <c r="A539" s="2">
        <v>45212</v>
      </c>
      <c r="B539">
        <v>10</v>
      </c>
      <c r="C539" s="3">
        <v>25.9</v>
      </c>
      <c r="D539" s="3">
        <v>35.9</v>
      </c>
      <c r="E539" s="5">
        <f>EnergiaSolar[[#This Row],[Producido]]-EnergiaSolar[[#This Row],[Consumido]]</f>
        <v>-10</v>
      </c>
      <c r="F539" s="3">
        <f>EnergiaSolar[[#This Row],[Producido]]-EnergiaSolar[[#This Row],[Consumido]]</f>
        <v>-10</v>
      </c>
      <c r="G539" s="5" cm="1">
        <f t="array" ref="G539">EnergiaSolar[[#This Row],[Variante ]]*CostPerKwh[Precio Promedio Kwh]</f>
        <v>-3.1</v>
      </c>
    </row>
    <row r="540" spans="1:7" x14ac:dyDescent="0.25">
      <c r="A540" s="2">
        <v>45213</v>
      </c>
      <c r="B540">
        <v>10</v>
      </c>
      <c r="C540" s="3">
        <v>24.8</v>
      </c>
      <c r="D540" s="3">
        <v>42.6</v>
      </c>
      <c r="E540" s="5">
        <f>EnergiaSolar[[#This Row],[Producido]]-EnergiaSolar[[#This Row],[Consumido]]</f>
        <v>-17.8</v>
      </c>
      <c r="F540" s="3">
        <f>EnergiaSolar[[#This Row],[Producido]]-EnergiaSolar[[#This Row],[Consumido]]</f>
        <v>-17.8</v>
      </c>
      <c r="G540" s="5" cm="1">
        <f t="array" ref="G540">EnergiaSolar[[#This Row],[Variante ]]*CostPerKwh[Precio Promedio Kwh]</f>
        <v>-5.5179999999999998</v>
      </c>
    </row>
    <row r="541" spans="1:7" x14ac:dyDescent="0.25">
      <c r="A541" s="2">
        <v>45214</v>
      </c>
      <c r="B541">
        <v>10</v>
      </c>
      <c r="C541" s="3">
        <v>29.5</v>
      </c>
      <c r="D541" s="3">
        <v>45.2</v>
      </c>
      <c r="E541" s="5">
        <f>EnergiaSolar[[#This Row],[Producido]]-EnergiaSolar[[#This Row],[Consumido]]</f>
        <v>-15.700000000000003</v>
      </c>
      <c r="F541" s="3">
        <f>EnergiaSolar[[#This Row],[Producido]]-EnergiaSolar[[#This Row],[Consumido]]</f>
        <v>-15.700000000000003</v>
      </c>
      <c r="G541" s="5" cm="1">
        <f t="array" ref="G541">EnergiaSolar[[#This Row],[Variante ]]*CostPerKwh[Precio Promedio Kwh]</f>
        <v>-4.8670000000000009</v>
      </c>
    </row>
    <row r="542" spans="1:7" x14ac:dyDescent="0.25">
      <c r="A542" s="2">
        <v>45215</v>
      </c>
      <c r="B542">
        <v>10</v>
      </c>
      <c r="C542" s="3">
        <v>27.2</v>
      </c>
      <c r="D542" s="3">
        <v>36.5</v>
      </c>
      <c r="E542" s="5">
        <f>EnergiaSolar[[#This Row],[Producido]]-EnergiaSolar[[#This Row],[Consumido]]</f>
        <v>-9.3000000000000007</v>
      </c>
      <c r="F542" s="3">
        <f>EnergiaSolar[[#This Row],[Producido]]-EnergiaSolar[[#This Row],[Consumido]]</f>
        <v>-9.3000000000000007</v>
      </c>
      <c r="G542" s="5" cm="1">
        <f t="array" ref="G542">EnergiaSolar[[#This Row],[Variante ]]*CostPerKwh[Precio Promedio Kwh]</f>
        <v>-2.883</v>
      </c>
    </row>
    <row r="543" spans="1:7" x14ac:dyDescent="0.25">
      <c r="A543" s="2">
        <v>45216</v>
      </c>
      <c r="B543">
        <v>10</v>
      </c>
      <c r="C543" s="3">
        <v>26.3</v>
      </c>
      <c r="D543" s="3">
        <v>30.9</v>
      </c>
      <c r="E543" s="5">
        <f>EnergiaSolar[[#This Row],[Producido]]-EnergiaSolar[[#This Row],[Consumido]]</f>
        <v>-4.5999999999999979</v>
      </c>
      <c r="F543" s="3">
        <f>EnergiaSolar[[#This Row],[Producido]]-EnergiaSolar[[#This Row],[Consumido]]</f>
        <v>-4.5999999999999979</v>
      </c>
      <c r="G543" s="5" cm="1">
        <f t="array" ref="G543">EnergiaSolar[[#This Row],[Variante ]]*CostPerKwh[Precio Promedio Kwh]</f>
        <v>-1.4259999999999993</v>
      </c>
    </row>
    <row r="544" spans="1:7" x14ac:dyDescent="0.25">
      <c r="A544" s="2">
        <v>45217</v>
      </c>
      <c r="B544">
        <v>10</v>
      </c>
      <c r="C544" s="3">
        <v>24.3</v>
      </c>
      <c r="D544" s="3">
        <v>28.5</v>
      </c>
      <c r="E544" s="5">
        <f>EnergiaSolar[[#This Row],[Producido]]-EnergiaSolar[[#This Row],[Consumido]]</f>
        <v>-4.1999999999999993</v>
      </c>
      <c r="F544" s="3">
        <f>EnergiaSolar[[#This Row],[Producido]]-EnergiaSolar[[#This Row],[Consumido]]</f>
        <v>-4.1999999999999993</v>
      </c>
      <c r="G544" s="5" cm="1">
        <f t="array" ref="G544">EnergiaSolar[[#This Row],[Variante ]]*CostPerKwh[Precio Promedio Kwh]</f>
        <v>-1.3019999999999998</v>
      </c>
    </row>
    <row r="545" spans="1:7" x14ac:dyDescent="0.25">
      <c r="A545" s="2">
        <v>45218</v>
      </c>
      <c r="B545">
        <v>10</v>
      </c>
      <c r="C545" s="3">
        <v>18.2</v>
      </c>
      <c r="D545" s="3">
        <v>27.3</v>
      </c>
      <c r="E545" s="5">
        <f>EnergiaSolar[[#This Row],[Producido]]-EnergiaSolar[[#This Row],[Consumido]]</f>
        <v>-9.1000000000000014</v>
      </c>
      <c r="F545" s="3">
        <f>EnergiaSolar[[#This Row],[Producido]]-EnergiaSolar[[#This Row],[Consumido]]</f>
        <v>-9.1000000000000014</v>
      </c>
      <c r="G545" s="5" cm="1">
        <f t="array" ref="G545">EnergiaSolar[[#This Row],[Variante ]]*CostPerKwh[Precio Promedio Kwh]</f>
        <v>-2.8210000000000006</v>
      </c>
    </row>
    <row r="546" spans="1:7" x14ac:dyDescent="0.25">
      <c r="A546" s="2">
        <v>45219</v>
      </c>
      <c r="B546">
        <v>10</v>
      </c>
      <c r="C546" s="3">
        <v>22.3</v>
      </c>
      <c r="D546" s="3">
        <v>36.4</v>
      </c>
      <c r="E546" s="5">
        <f>EnergiaSolar[[#This Row],[Producido]]-EnergiaSolar[[#This Row],[Consumido]]</f>
        <v>-14.099999999999998</v>
      </c>
      <c r="F546" s="3">
        <f>EnergiaSolar[[#This Row],[Producido]]-EnergiaSolar[[#This Row],[Consumido]]</f>
        <v>-14.099999999999998</v>
      </c>
      <c r="G546" s="5" cm="1">
        <f t="array" ref="G546">EnergiaSolar[[#This Row],[Variante ]]*CostPerKwh[Precio Promedio Kwh]</f>
        <v>-4.3709999999999996</v>
      </c>
    </row>
    <row r="547" spans="1:7" x14ac:dyDescent="0.25">
      <c r="A547" s="2">
        <v>45220</v>
      </c>
      <c r="B547">
        <v>10</v>
      </c>
      <c r="C547" s="3">
        <v>26.1</v>
      </c>
      <c r="D547" s="3">
        <v>34.299999999999997</v>
      </c>
      <c r="E547" s="5">
        <f>EnergiaSolar[[#This Row],[Producido]]-EnergiaSolar[[#This Row],[Consumido]]</f>
        <v>-8.1999999999999957</v>
      </c>
      <c r="F547" s="3">
        <f>EnergiaSolar[[#This Row],[Producido]]-EnergiaSolar[[#This Row],[Consumido]]</f>
        <v>-8.1999999999999957</v>
      </c>
      <c r="G547" s="5" cm="1">
        <f t="array" ref="G547">EnergiaSolar[[#This Row],[Variante ]]*CostPerKwh[Precio Promedio Kwh]</f>
        <v>-2.5419999999999985</v>
      </c>
    </row>
    <row r="548" spans="1:7" x14ac:dyDescent="0.25">
      <c r="A548" s="2">
        <v>45221</v>
      </c>
      <c r="B548">
        <v>10</v>
      </c>
      <c r="C548" s="3">
        <v>20.2</v>
      </c>
      <c r="D548" s="3">
        <v>41.6</v>
      </c>
      <c r="E548" s="5">
        <f>EnergiaSolar[[#This Row],[Producido]]-EnergiaSolar[[#This Row],[Consumido]]</f>
        <v>-21.400000000000002</v>
      </c>
      <c r="F548" s="3">
        <f>EnergiaSolar[[#This Row],[Producido]]-EnergiaSolar[[#This Row],[Consumido]]</f>
        <v>-21.400000000000002</v>
      </c>
      <c r="G548" s="5" cm="1">
        <f t="array" ref="G548">EnergiaSolar[[#This Row],[Variante ]]*CostPerKwh[Precio Promedio Kwh]</f>
        <v>-6.6340000000000003</v>
      </c>
    </row>
    <row r="549" spans="1:7" x14ac:dyDescent="0.25">
      <c r="A549" s="2">
        <v>45222</v>
      </c>
      <c r="B549">
        <v>10</v>
      </c>
      <c r="C549" s="3">
        <v>27.5</v>
      </c>
      <c r="D549" s="3">
        <v>34.1</v>
      </c>
      <c r="E549" s="5">
        <f>EnergiaSolar[[#This Row],[Producido]]-EnergiaSolar[[#This Row],[Consumido]]</f>
        <v>-6.6000000000000014</v>
      </c>
      <c r="F549" s="3">
        <f>EnergiaSolar[[#This Row],[Producido]]-EnergiaSolar[[#This Row],[Consumido]]</f>
        <v>-6.6000000000000014</v>
      </c>
      <c r="G549" s="5" cm="1">
        <f t="array" ref="G549">EnergiaSolar[[#This Row],[Variante ]]*CostPerKwh[Precio Promedio Kwh]</f>
        <v>-2.0460000000000003</v>
      </c>
    </row>
    <row r="550" spans="1:7" x14ac:dyDescent="0.25">
      <c r="A550" s="2">
        <v>45223</v>
      </c>
      <c r="B550">
        <v>10</v>
      </c>
      <c r="C550" s="3">
        <v>27.8</v>
      </c>
      <c r="D550" s="3">
        <v>33.4</v>
      </c>
      <c r="E550" s="5">
        <f>EnergiaSolar[[#This Row],[Producido]]-EnergiaSolar[[#This Row],[Consumido]]</f>
        <v>-5.5999999999999979</v>
      </c>
      <c r="F550" s="3">
        <f>EnergiaSolar[[#This Row],[Producido]]-EnergiaSolar[[#This Row],[Consumido]]</f>
        <v>-5.5999999999999979</v>
      </c>
      <c r="G550" s="5" cm="1">
        <f t="array" ref="G550">EnergiaSolar[[#This Row],[Variante ]]*CostPerKwh[Precio Promedio Kwh]</f>
        <v>-1.7359999999999993</v>
      </c>
    </row>
    <row r="551" spans="1:7" x14ac:dyDescent="0.25">
      <c r="A551" s="2">
        <v>45224</v>
      </c>
      <c r="B551">
        <v>10</v>
      </c>
      <c r="C551" s="3">
        <v>25.8</v>
      </c>
      <c r="D551" s="3">
        <v>29</v>
      </c>
      <c r="E551" s="5">
        <f>EnergiaSolar[[#This Row],[Producido]]-EnergiaSolar[[#This Row],[Consumido]]</f>
        <v>-3.1999999999999993</v>
      </c>
      <c r="F551" s="3">
        <f>EnergiaSolar[[#This Row],[Producido]]-EnergiaSolar[[#This Row],[Consumido]]</f>
        <v>-3.1999999999999993</v>
      </c>
      <c r="G551" s="5" cm="1">
        <f t="array" ref="G551">EnergiaSolar[[#This Row],[Variante ]]*CostPerKwh[Precio Promedio Kwh]</f>
        <v>-0.99199999999999977</v>
      </c>
    </row>
    <row r="552" spans="1:7" x14ac:dyDescent="0.25">
      <c r="A552" s="2">
        <v>45225</v>
      </c>
      <c r="B552">
        <v>10</v>
      </c>
      <c r="C552" s="3">
        <v>20.3</v>
      </c>
      <c r="D552" s="3">
        <v>33.5</v>
      </c>
      <c r="E552" s="5">
        <f>EnergiaSolar[[#This Row],[Producido]]-EnergiaSolar[[#This Row],[Consumido]]</f>
        <v>-13.2</v>
      </c>
      <c r="F552" s="3">
        <f>EnergiaSolar[[#This Row],[Producido]]-EnergiaSolar[[#This Row],[Consumido]]</f>
        <v>-13.2</v>
      </c>
      <c r="G552" s="5" cm="1">
        <f t="array" ref="G552">EnergiaSolar[[#This Row],[Variante ]]*CostPerKwh[Precio Promedio Kwh]</f>
        <v>-4.0919999999999996</v>
      </c>
    </row>
    <row r="553" spans="1:7" x14ac:dyDescent="0.25">
      <c r="A553" s="2">
        <v>45226</v>
      </c>
      <c r="B553">
        <v>10</v>
      </c>
      <c r="C553" s="3">
        <v>8.9</v>
      </c>
      <c r="D553" s="3">
        <v>30</v>
      </c>
      <c r="E553" s="5">
        <f>EnergiaSolar[[#This Row],[Producido]]-EnergiaSolar[[#This Row],[Consumido]]</f>
        <v>-21.1</v>
      </c>
      <c r="F553" s="3">
        <f>EnergiaSolar[[#This Row],[Producido]]-EnergiaSolar[[#This Row],[Consumido]]</f>
        <v>-21.1</v>
      </c>
      <c r="G553" s="5" cm="1">
        <f t="array" ref="G553">EnergiaSolar[[#This Row],[Variante ]]*CostPerKwh[Precio Promedio Kwh]</f>
        <v>-6.5410000000000004</v>
      </c>
    </row>
    <row r="554" spans="1:7" x14ac:dyDescent="0.25">
      <c r="A554" s="2">
        <v>45227</v>
      </c>
      <c r="B554">
        <v>10</v>
      </c>
      <c r="C554" s="3">
        <v>26.6</v>
      </c>
      <c r="D554" s="3">
        <v>35.9</v>
      </c>
      <c r="E554" s="5">
        <f>EnergiaSolar[[#This Row],[Producido]]-EnergiaSolar[[#This Row],[Consumido]]</f>
        <v>-9.2999999999999972</v>
      </c>
      <c r="F554" s="3">
        <f>EnergiaSolar[[#This Row],[Producido]]-EnergiaSolar[[#This Row],[Consumido]]</f>
        <v>-9.2999999999999972</v>
      </c>
      <c r="G554" s="5" cm="1">
        <f t="array" ref="G554">EnergiaSolar[[#This Row],[Variante ]]*CostPerKwh[Precio Promedio Kwh]</f>
        <v>-2.8829999999999991</v>
      </c>
    </row>
    <row r="555" spans="1:7" x14ac:dyDescent="0.25">
      <c r="A555" s="2">
        <v>45228</v>
      </c>
      <c r="B555">
        <v>10</v>
      </c>
      <c r="C555" s="3">
        <v>13.5</v>
      </c>
      <c r="D555" s="3">
        <v>37.700000000000003</v>
      </c>
      <c r="E555" s="5">
        <f>EnergiaSolar[[#This Row],[Producido]]-EnergiaSolar[[#This Row],[Consumido]]</f>
        <v>-24.200000000000003</v>
      </c>
      <c r="F555" s="3">
        <f>EnergiaSolar[[#This Row],[Producido]]-EnergiaSolar[[#This Row],[Consumido]]</f>
        <v>-24.200000000000003</v>
      </c>
      <c r="G555" s="5" cm="1">
        <f t="array" ref="G555">EnergiaSolar[[#This Row],[Variante ]]*CostPerKwh[Precio Promedio Kwh]</f>
        <v>-7.5020000000000007</v>
      </c>
    </row>
    <row r="556" spans="1:7" x14ac:dyDescent="0.25">
      <c r="A556" s="2">
        <v>45229</v>
      </c>
      <c r="B556">
        <v>10</v>
      </c>
      <c r="C556" s="3">
        <v>18.100000000000001</v>
      </c>
      <c r="D556" s="3">
        <v>27.9</v>
      </c>
      <c r="E556" s="5">
        <f>EnergiaSolar[[#This Row],[Producido]]-EnergiaSolar[[#This Row],[Consumido]]</f>
        <v>-9.7999999999999972</v>
      </c>
      <c r="F556" s="3">
        <f>EnergiaSolar[[#This Row],[Producido]]-EnergiaSolar[[#This Row],[Consumido]]</f>
        <v>-9.7999999999999972</v>
      </c>
      <c r="G556" s="5" cm="1">
        <f t="array" ref="G556">EnergiaSolar[[#This Row],[Variante ]]*CostPerKwh[Precio Promedio Kwh]</f>
        <v>-3.0379999999999989</v>
      </c>
    </row>
    <row r="557" spans="1:7" x14ac:dyDescent="0.25">
      <c r="A557" s="2">
        <v>45230</v>
      </c>
      <c r="B557">
        <v>10</v>
      </c>
      <c r="C557" s="3">
        <v>21</v>
      </c>
      <c r="D557" s="3">
        <v>28.2</v>
      </c>
      <c r="E557" s="5">
        <f>EnergiaSolar[[#This Row],[Producido]]-EnergiaSolar[[#This Row],[Consumido]]</f>
        <v>-7.1999999999999993</v>
      </c>
      <c r="F557" s="3">
        <f>EnergiaSolar[[#This Row],[Producido]]-EnergiaSolar[[#This Row],[Consumido]]</f>
        <v>-7.1999999999999993</v>
      </c>
      <c r="G557" s="5" cm="1">
        <f t="array" ref="G557">EnergiaSolar[[#This Row],[Variante ]]*CostPerKwh[Precio Promedio Kwh]</f>
        <v>-2.2319999999999998</v>
      </c>
    </row>
    <row r="558" spans="1:7" x14ac:dyDescent="0.25">
      <c r="A558" s="2">
        <v>45231</v>
      </c>
      <c r="B558">
        <v>10</v>
      </c>
      <c r="C558" s="3">
        <v>26.9</v>
      </c>
      <c r="D558" s="3">
        <v>28.9</v>
      </c>
      <c r="E558" s="5">
        <f>EnergiaSolar[[#This Row],[Producido]]-EnergiaSolar[[#This Row],[Consumido]]</f>
        <v>-2</v>
      </c>
      <c r="F558" s="3">
        <f>EnergiaSolar[[#This Row],[Producido]]-EnergiaSolar[[#This Row],[Consumido]]</f>
        <v>-2</v>
      </c>
      <c r="G558" s="5" cm="1">
        <f t="array" ref="G558">EnergiaSolar[[#This Row],[Variante ]]*CostPerKwh[Precio Promedio Kwh]</f>
        <v>-0.62</v>
      </c>
    </row>
    <row r="559" spans="1:7" x14ac:dyDescent="0.25">
      <c r="A559" s="2">
        <v>45232</v>
      </c>
      <c r="B559">
        <v>10</v>
      </c>
      <c r="C559" s="3">
        <v>20.3</v>
      </c>
      <c r="D559" s="3">
        <v>29.2</v>
      </c>
      <c r="E559" s="5">
        <f>EnergiaSolar[[#This Row],[Producido]]-EnergiaSolar[[#This Row],[Consumido]]</f>
        <v>-8.8999999999999986</v>
      </c>
      <c r="F559" s="3">
        <f>EnergiaSolar[[#This Row],[Producido]]-EnergiaSolar[[#This Row],[Consumido]]</f>
        <v>-8.8999999999999986</v>
      </c>
      <c r="G559" s="5" cm="1">
        <f t="array" ref="G559">EnergiaSolar[[#This Row],[Variante ]]*CostPerKwh[Precio Promedio Kwh]</f>
        <v>-2.7589999999999995</v>
      </c>
    </row>
    <row r="560" spans="1:7" x14ac:dyDescent="0.25">
      <c r="A560" s="2">
        <v>45233</v>
      </c>
      <c r="B560">
        <v>10</v>
      </c>
      <c r="C560" s="3">
        <v>21</v>
      </c>
      <c r="D560" s="3">
        <v>32.5</v>
      </c>
      <c r="E560" s="5">
        <f>EnergiaSolar[[#This Row],[Producido]]-EnergiaSolar[[#This Row],[Consumido]]</f>
        <v>-11.5</v>
      </c>
      <c r="F560" s="3">
        <f>EnergiaSolar[[#This Row],[Producido]]-EnergiaSolar[[#This Row],[Consumido]]</f>
        <v>-11.5</v>
      </c>
      <c r="G560" s="5" cm="1">
        <f t="array" ref="G560">EnergiaSolar[[#This Row],[Variante ]]*CostPerKwh[Precio Promedio Kwh]</f>
        <v>-3.5649999999999999</v>
      </c>
    </row>
    <row r="561" spans="1:8" x14ac:dyDescent="0.25">
      <c r="A561" s="2">
        <v>45234</v>
      </c>
      <c r="B561">
        <v>10</v>
      </c>
      <c r="C561" s="3">
        <v>25.2</v>
      </c>
      <c r="D561" s="3">
        <v>35.9</v>
      </c>
      <c r="E561" s="5">
        <f>EnergiaSolar[[#This Row],[Producido]]-EnergiaSolar[[#This Row],[Consumido]]</f>
        <v>-10.7</v>
      </c>
      <c r="F561" s="3">
        <f>EnergiaSolar[[#This Row],[Producido]]-EnergiaSolar[[#This Row],[Consumido]]</f>
        <v>-10.7</v>
      </c>
      <c r="G561" s="5" cm="1">
        <f t="array" ref="G561">EnergiaSolar[[#This Row],[Variante ]]*CostPerKwh[Precio Promedio Kwh]</f>
        <v>-3.3169999999999997</v>
      </c>
    </row>
    <row r="562" spans="1:8" x14ac:dyDescent="0.25">
      <c r="A562" s="2">
        <v>45235</v>
      </c>
      <c r="B562">
        <v>10</v>
      </c>
      <c r="C562" s="3">
        <v>25.8</v>
      </c>
      <c r="D562" s="3">
        <v>34.700000000000003</v>
      </c>
      <c r="E562" s="5">
        <f>EnergiaSolar[[#This Row],[Producido]]-EnergiaSolar[[#This Row],[Consumido]]</f>
        <v>-8.9000000000000021</v>
      </c>
      <c r="F562" s="3">
        <f>EnergiaSolar[[#This Row],[Producido]]-EnergiaSolar[[#This Row],[Consumido]]</f>
        <v>-8.9000000000000021</v>
      </c>
      <c r="G562" s="5" cm="1">
        <f t="array" ref="G562">EnergiaSolar[[#This Row],[Variante ]]*CostPerKwh[Precio Promedio Kwh]</f>
        <v>-2.7590000000000008</v>
      </c>
    </row>
    <row r="563" spans="1:8" x14ac:dyDescent="0.25">
      <c r="A563" s="2">
        <v>45236</v>
      </c>
      <c r="B563">
        <v>10</v>
      </c>
      <c r="C563" s="3">
        <v>26</v>
      </c>
      <c r="D563" s="3">
        <v>28.4</v>
      </c>
      <c r="E563" s="5">
        <f>EnergiaSolar[[#This Row],[Producido]]-EnergiaSolar[[#This Row],[Consumido]]</f>
        <v>-2.3999999999999986</v>
      </c>
      <c r="F563" s="3">
        <f>EnergiaSolar[[#This Row],[Producido]]-EnergiaSolar[[#This Row],[Consumido]]</f>
        <v>-2.3999999999999986</v>
      </c>
      <c r="G563" s="5" cm="1">
        <f t="array" ref="G563">EnergiaSolar[[#This Row],[Variante ]]*CostPerKwh[Precio Promedio Kwh]</f>
        <v>-0.74399999999999955</v>
      </c>
    </row>
    <row r="564" spans="1:8" x14ac:dyDescent="0.25">
      <c r="A564" s="2">
        <v>45237</v>
      </c>
      <c r="B564">
        <v>10</v>
      </c>
      <c r="C564" s="3">
        <v>17.899999999999999</v>
      </c>
      <c r="D564" s="3">
        <v>25.7</v>
      </c>
      <c r="E564" s="5">
        <f>EnergiaSolar[[#This Row],[Producido]]-EnergiaSolar[[#This Row],[Consumido]]</f>
        <v>-7.8000000000000007</v>
      </c>
      <c r="F564" s="3">
        <f>EnergiaSolar[[#This Row],[Producido]]-EnergiaSolar[[#This Row],[Consumido]]</f>
        <v>-7.8000000000000007</v>
      </c>
      <c r="G564" s="5" cm="1">
        <f t="array" ref="G564">EnergiaSolar[[#This Row],[Variante ]]*CostPerKwh[Precio Promedio Kwh]</f>
        <v>-2.4180000000000001</v>
      </c>
    </row>
    <row r="565" spans="1:8" x14ac:dyDescent="0.25">
      <c r="A565" s="2">
        <v>45238</v>
      </c>
      <c r="B565">
        <v>10</v>
      </c>
      <c r="C565" s="3">
        <v>15.6</v>
      </c>
      <c r="D565" s="3">
        <v>25.2</v>
      </c>
      <c r="E565" s="5">
        <f>EnergiaSolar[[#This Row],[Producido]]-EnergiaSolar[[#This Row],[Consumido]]</f>
        <v>-9.6</v>
      </c>
      <c r="F565" s="3">
        <f>EnergiaSolar[[#This Row],[Producido]]-EnergiaSolar[[#This Row],[Consumido]]</f>
        <v>-9.6</v>
      </c>
      <c r="G565" s="5" cm="1">
        <f t="array" ref="G565">EnergiaSolar[[#This Row],[Variante ]]*CostPerKwh[Precio Promedio Kwh]</f>
        <v>-2.976</v>
      </c>
    </row>
    <row r="566" spans="1:8" x14ac:dyDescent="0.25">
      <c r="A566" s="2">
        <v>45239</v>
      </c>
      <c r="B566">
        <v>10</v>
      </c>
      <c r="C566" s="3">
        <v>14.5</v>
      </c>
      <c r="D566" s="3">
        <v>27.5</v>
      </c>
      <c r="E566" s="5">
        <f>EnergiaSolar[[#This Row],[Producido]]-EnergiaSolar[[#This Row],[Consumido]]</f>
        <v>-13</v>
      </c>
      <c r="F566" s="3">
        <f>EnergiaSolar[[#This Row],[Producido]]-EnergiaSolar[[#This Row],[Consumido]]</f>
        <v>-13</v>
      </c>
      <c r="G566" s="5" cm="1">
        <f t="array" ref="G566">EnergiaSolar[[#This Row],[Variante ]]*CostPerKwh[Precio Promedio Kwh]</f>
        <v>-4.03</v>
      </c>
    </row>
    <row r="567" spans="1:8" x14ac:dyDescent="0.25">
      <c r="A567" s="2">
        <v>45240</v>
      </c>
      <c r="B567">
        <v>10</v>
      </c>
      <c r="C567" s="3">
        <v>15.5</v>
      </c>
      <c r="D567" s="3">
        <v>31.9</v>
      </c>
      <c r="E567" s="5">
        <f>EnergiaSolar[[#This Row],[Producido]]-EnergiaSolar[[#This Row],[Consumido]]</f>
        <v>-16.399999999999999</v>
      </c>
      <c r="F567" s="3">
        <f>EnergiaSolar[[#This Row],[Producido]]-EnergiaSolar[[#This Row],[Consumido]]</f>
        <v>-16.399999999999999</v>
      </c>
      <c r="G567" s="5" cm="1">
        <f t="array" ref="G567">EnergiaSolar[[#This Row],[Variante ]]*CostPerKwh[Precio Promedio Kwh]</f>
        <v>-5.0839999999999996</v>
      </c>
    </row>
    <row r="568" spans="1:8" x14ac:dyDescent="0.25">
      <c r="A568" s="2">
        <v>45241</v>
      </c>
      <c r="B568">
        <v>10</v>
      </c>
      <c r="C568" s="3">
        <v>20.3</v>
      </c>
      <c r="D568" s="3">
        <v>32.299999999999997</v>
      </c>
      <c r="E568" s="5">
        <f>EnergiaSolar[[#This Row],[Producido]]-EnergiaSolar[[#This Row],[Consumido]]</f>
        <v>-11.999999999999996</v>
      </c>
      <c r="F568" s="3">
        <f>EnergiaSolar[[#This Row],[Producido]]-EnergiaSolar[[#This Row],[Consumido]]</f>
        <v>-11.999999999999996</v>
      </c>
      <c r="G568" s="5" cm="1">
        <f t="array" ref="G568">EnergiaSolar[[#This Row],[Variante ]]*CostPerKwh[Precio Promedio Kwh]</f>
        <v>-3.7199999999999989</v>
      </c>
    </row>
    <row r="569" spans="1:8" x14ac:dyDescent="0.25">
      <c r="A569" s="2">
        <v>45242</v>
      </c>
      <c r="B569">
        <v>11</v>
      </c>
      <c r="C569" s="3">
        <v>25.9</v>
      </c>
      <c r="D569" s="3">
        <v>32.4</v>
      </c>
      <c r="E569" s="5">
        <f>EnergiaSolar[[#This Row],[Producido]]-EnergiaSolar[[#This Row],[Consumido]]</f>
        <v>-6.5</v>
      </c>
      <c r="F569" s="3">
        <f>EnergiaSolar[[#This Row],[Producido]]-EnergiaSolar[[#This Row],[Consumido]]</f>
        <v>-6.5</v>
      </c>
      <c r="G569" s="5" cm="1">
        <f t="array" ref="G569">EnergiaSolar[[#This Row],[Variante ]]*CostPerKwh[Precio Promedio Kwh]</f>
        <v>-2.0150000000000001</v>
      </c>
      <c r="H569" t="s">
        <v>5</v>
      </c>
    </row>
    <row r="570" spans="1:8" x14ac:dyDescent="0.25">
      <c r="A570" s="2">
        <v>45243</v>
      </c>
      <c r="B570">
        <v>11</v>
      </c>
      <c r="C570" s="3">
        <v>2.2999999999999998</v>
      </c>
      <c r="D570" s="3">
        <v>32.4</v>
      </c>
      <c r="E570" s="5">
        <f>EnergiaSolar[[#This Row],[Producido]]-EnergiaSolar[[#This Row],[Consumido]]</f>
        <v>-30.099999999999998</v>
      </c>
      <c r="F570" s="3">
        <f>EnergiaSolar[[#This Row],[Producido]]-EnergiaSolar[[#This Row],[Consumido]]</f>
        <v>-30.099999999999998</v>
      </c>
      <c r="G570" s="5" cm="1">
        <f t="array" ref="G570">EnergiaSolar[[#This Row],[Variante ]]*CostPerKwh[Precio Promedio Kwh]</f>
        <v>-9.3309999999999995</v>
      </c>
      <c r="H570" t="s">
        <v>6</v>
      </c>
    </row>
    <row r="571" spans="1:8" x14ac:dyDescent="0.25">
      <c r="A571" s="2">
        <v>45244</v>
      </c>
      <c r="B571">
        <v>11</v>
      </c>
      <c r="C571" s="3">
        <v>19</v>
      </c>
      <c r="D571" s="3">
        <v>30.3</v>
      </c>
      <c r="E571" s="5">
        <f>EnergiaSolar[[#This Row],[Producido]]-EnergiaSolar[[#This Row],[Consumido]]</f>
        <v>-11.3</v>
      </c>
      <c r="F571" s="3">
        <f>EnergiaSolar[[#This Row],[Producido]]-EnergiaSolar[[#This Row],[Consumido]]</f>
        <v>-11.3</v>
      </c>
      <c r="G571" s="5" cm="1">
        <f t="array" ref="G571">EnergiaSolar[[#This Row],[Variante ]]*CostPerKwh[Precio Promedio Kwh]</f>
        <v>-3.5030000000000001</v>
      </c>
      <c r="H571" t="s">
        <v>6</v>
      </c>
    </row>
    <row r="572" spans="1:8" x14ac:dyDescent="0.25">
      <c r="A572" s="2">
        <v>45245</v>
      </c>
      <c r="B572">
        <v>11</v>
      </c>
      <c r="C572" s="3">
        <v>39.200000000000003</v>
      </c>
      <c r="D572" s="3">
        <v>28.4</v>
      </c>
      <c r="E572" s="5">
        <f>EnergiaSolar[[#This Row],[Producido]]-EnergiaSolar[[#This Row],[Consumido]]</f>
        <v>10.800000000000004</v>
      </c>
      <c r="F572" s="3">
        <f>EnergiaSolar[[#This Row],[Producido]]-EnergiaSolar[[#This Row],[Consumido]]</f>
        <v>10.800000000000004</v>
      </c>
      <c r="G572" s="5" cm="1">
        <f t="array" ref="G572">EnergiaSolar[[#This Row],[Variante ]]*CostPerKwh[Precio Promedio Kwh]</f>
        <v>3.3480000000000012</v>
      </c>
    </row>
    <row r="573" spans="1:8" x14ac:dyDescent="0.25">
      <c r="A573" s="2">
        <v>45246</v>
      </c>
      <c r="B573">
        <v>11</v>
      </c>
      <c r="C573" s="3">
        <v>37.5</v>
      </c>
      <c r="D573" s="3">
        <v>27.4</v>
      </c>
      <c r="E573" s="5">
        <f>EnergiaSolar[[#This Row],[Producido]]-EnergiaSolar[[#This Row],[Consumido]]</f>
        <v>10.100000000000001</v>
      </c>
      <c r="F573" s="3">
        <f>EnergiaSolar[[#This Row],[Producido]]-EnergiaSolar[[#This Row],[Consumido]]</f>
        <v>10.100000000000001</v>
      </c>
      <c r="G573" s="5" cm="1">
        <f t="array" ref="G573">EnergiaSolar[[#This Row],[Variante ]]*CostPerKwh[Precio Promedio Kwh]</f>
        <v>3.1310000000000002</v>
      </c>
    </row>
    <row r="574" spans="1:8" x14ac:dyDescent="0.25">
      <c r="A574" s="2">
        <v>45247</v>
      </c>
      <c r="B574">
        <v>11</v>
      </c>
      <c r="C574" s="3">
        <v>35.5</v>
      </c>
      <c r="D574" s="3">
        <v>31.2</v>
      </c>
      <c r="E574" s="5">
        <f>EnergiaSolar[[#This Row],[Producido]]-EnergiaSolar[[#This Row],[Consumido]]</f>
        <v>4.3000000000000007</v>
      </c>
      <c r="F574" s="3">
        <f>EnergiaSolar[[#This Row],[Producido]]-EnergiaSolar[[#This Row],[Consumido]]</f>
        <v>4.3000000000000007</v>
      </c>
      <c r="G574" s="5" cm="1">
        <f t="array" ref="G574">EnergiaSolar[[#This Row],[Variante ]]*CostPerKwh[Precio Promedio Kwh]</f>
        <v>1.3330000000000002</v>
      </c>
    </row>
    <row r="575" spans="1:8" x14ac:dyDescent="0.25">
      <c r="A575" s="2">
        <v>45248</v>
      </c>
      <c r="B575">
        <v>11</v>
      </c>
      <c r="C575" s="3">
        <v>35</v>
      </c>
      <c r="D575" s="3">
        <v>37</v>
      </c>
      <c r="E575" s="5">
        <f>EnergiaSolar[[#This Row],[Producido]]-EnergiaSolar[[#This Row],[Consumido]]</f>
        <v>-2</v>
      </c>
      <c r="F575" s="3">
        <f>EnergiaSolar[[#This Row],[Producido]]-EnergiaSolar[[#This Row],[Consumido]]</f>
        <v>-2</v>
      </c>
      <c r="G575" s="5" cm="1">
        <f t="array" ref="G575">EnergiaSolar[[#This Row],[Variante ]]*CostPerKwh[Precio Promedio Kwh]</f>
        <v>-0.62</v>
      </c>
    </row>
    <row r="576" spans="1:8" x14ac:dyDescent="0.25">
      <c r="A576" s="2">
        <v>45249</v>
      </c>
      <c r="B576">
        <v>11</v>
      </c>
      <c r="C576" s="3">
        <v>18.100000000000001</v>
      </c>
      <c r="D576" s="3">
        <v>38.799999999999997</v>
      </c>
      <c r="E576" s="5">
        <f>EnergiaSolar[[#This Row],[Producido]]-EnergiaSolar[[#This Row],[Consumido]]</f>
        <v>-20.699999999999996</v>
      </c>
      <c r="F576" s="3">
        <f>EnergiaSolar[[#This Row],[Producido]]-EnergiaSolar[[#This Row],[Consumido]]</f>
        <v>-20.699999999999996</v>
      </c>
      <c r="G576" s="5" cm="1">
        <f t="array" ref="G576">EnergiaSolar[[#This Row],[Variante ]]*CostPerKwh[Precio Promedio Kwh]</f>
        <v>-6.4169999999999989</v>
      </c>
      <c r="H576" t="s">
        <v>7</v>
      </c>
    </row>
    <row r="577" spans="1:13" x14ac:dyDescent="0.25">
      <c r="A577" s="2">
        <v>45250</v>
      </c>
      <c r="B577">
        <v>11</v>
      </c>
      <c r="C577" s="3">
        <v>8.1</v>
      </c>
      <c r="D577" s="3">
        <v>28.5</v>
      </c>
      <c r="E577" s="5">
        <f>EnergiaSolar[[#This Row],[Producido]]-EnergiaSolar[[#This Row],[Consumido]]</f>
        <v>-20.399999999999999</v>
      </c>
      <c r="F577" s="3">
        <f>EnergiaSolar[[#This Row],[Producido]]-EnergiaSolar[[#This Row],[Consumido]]</f>
        <v>-20.399999999999999</v>
      </c>
      <c r="G577" s="5" cm="1">
        <f t="array" ref="G577">EnergiaSolar[[#This Row],[Variante ]]*CostPerKwh[Precio Promedio Kwh]</f>
        <v>-6.3239999999999998</v>
      </c>
      <c r="H577" t="s">
        <v>7</v>
      </c>
    </row>
    <row r="578" spans="1:13" x14ac:dyDescent="0.25">
      <c r="A578" s="2">
        <v>45251</v>
      </c>
      <c r="B578">
        <v>11</v>
      </c>
      <c r="C578" s="3">
        <v>18.8</v>
      </c>
      <c r="D578" s="3">
        <v>23.7</v>
      </c>
      <c r="E578" s="5">
        <f>EnergiaSolar[[#This Row],[Producido]]-EnergiaSolar[[#This Row],[Consumido]]</f>
        <v>-4.8999999999999986</v>
      </c>
      <c r="F578" s="3">
        <f>EnergiaSolar[[#This Row],[Producido]]-EnergiaSolar[[#This Row],[Consumido]]</f>
        <v>-4.8999999999999986</v>
      </c>
      <c r="G578" s="5" cm="1">
        <f t="array" ref="G578">EnergiaSolar[[#This Row],[Variante ]]*CostPerKwh[Precio Promedio Kwh]</f>
        <v>-1.5189999999999995</v>
      </c>
      <c r="H578" t="s">
        <v>7</v>
      </c>
    </row>
    <row r="579" spans="1:13" x14ac:dyDescent="0.25">
      <c r="A579" s="2">
        <v>45252</v>
      </c>
      <c r="B579">
        <v>11</v>
      </c>
      <c r="C579" s="3">
        <v>33.799999999999997</v>
      </c>
      <c r="D579" s="3">
        <v>25.3</v>
      </c>
      <c r="E579" s="5">
        <f>EnergiaSolar[[#This Row],[Producido]]-EnergiaSolar[[#This Row],[Consumido]]</f>
        <v>8.4999999999999964</v>
      </c>
      <c r="F579" s="3">
        <f>EnergiaSolar[[#This Row],[Producido]]-EnergiaSolar[[#This Row],[Consumido]]</f>
        <v>8.4999999999999964</v>
      </c>
      <c r="G579" s="5" cm="1">
        <f t="array" ref="G579">EnergiaSolar[[#This Row],[Variante ]]*CostPerKwh[Precio Promedio Kwh]</f>
        <v>2.6349999999999989</v>
      </c>
    </row>
    <row r="580" spans="1:13" x14ac:dyDescent="0.25">
      <c r="A580" s="2">
        <v>45253</v>
      </c>
      <c r="B580">
        <v>11</v>
      </c>
      <c r="C580" s="3">
        <v>34.5</v>
      </c>
      <c r="D580" s="3">
        <v>28.3</v>
      </c>
      <c r="E580" s="5">
        <f>EnergiaSolar[[#This Row],[Producido]]-EnergiaSolar[[#This Row],[Consumido]]</f>
        <v>6.1999999999999993</v>
      </c>
      <c r="F580" s="3">
        <f>EnergiaSolar[[#This Row],[Producido]]-EnergiaSolar[[#This Row],[Consumido]]</f>
        <v>6.1999999999999993</v>
      </c>
      <c r="G580" s="5" cm="1">
        <f t="array" ref="G580">EnergiaSolar[[#This Row],[Variante ]]*CostPerKwh[Precio Promedio Kwh]</f>
        <v>1.9219999999999997</v>
      </c>
    </row>
    <row r="581" spans="1:13" x14ac:dyDescent="0.25">
      <c r="A581" s="2">
        <v>45254</v>
      </c>
      <c r="B581">
        <v>11</v>
      </c>
      <c r="C581" s="3">
        <v>27.2</v>
      </c>
      <c r="D581" s="3">
        <v>34.5</v>
      </c>
      <c r="E581" s="5">
        <f>EnergiaSolar[[#This Row],[Producido]]-EnergiaSolar[[#This Row],[Consumido]]</f>
        <v>-7.3000000000000007</v>
      </c>
      <c r="F581" s="3">
        <f>EnergiaSolar[[#This Row],[Producido]]-EnergiaSolar[[#This Row],[Consumido]]</f>
        <v>-7.3000000000000007</v>
      </c>
      <c r="G581" s="5" cm="1">
        <f t="array" ref="G581">EnergiaSolar[[#This Row],[Variante ]]*CostPerKwh[Precio Promedio Kwh]</f>
        <v>-2.2630000000000003</v>
      </c>
      <c r="M581" s="1"/>
    </row>
    <row r="582" spans="1:13" x14ac:dyDescent="0.25">
      <c r="A582" s="2">
        <v>45255</v>
      </c>
      <c r="B582">
        <v>11</v>
      </c>
      <c r="C582" s="3">
        <v>41.4</v>
      </c>
      <c r="D582" s="3">
        <v>22.8</v>
      </c>
      <c r="E582" s="5">
        <f>EnergiaSolar[[#This Row],[Producido]]-EnergiaSolar[[#This Row],[Consumido]]</f>
        <v>18.599999999999998</v>
      </c>
      <c r="F582" s="3">
        <f>EnergiaSolar[[#This Row],[Producido]]-EnergiaSolar[[#This Row],[Consumido]]</f>
        <v>18.599999999999998</v>
      </c>
      <c r="G582" s="5" cm="1">
        <f t="array" ref="G582">EnergiaSolar[[#This Row],[Variante ]]*CostPerKwh[Precio Promedio Kwh]</f>
        <v>5.7659999999999991</v>
      </c>
    </row>
    <row r="583" spans="1:13" x14ac:dyDescent="0.25">
      <c r="A583" s="2">
        <v>45256</v>
      </c>
      <c r="B583">
        <v>11</v>
      </c>
      <c r="C583" s="3">
        <v>33.1</v>
      </c>
      <c r="D583" s="3">
        <v>37.700000000000003</v>
      </c>
      <c r="E583" s="5">
        <f>EnergiaSolar[[#This Row],[Producido]]-EnergiaSolar[[#This Row],[Consumido]]</f>
        <v>-4.6000000000000014</v>
      </c>
      <c r="F583" s="3">
        <f>EnergiaSolar[[#This Row],[Producido]]-EnergiaSolar[[#This Row],[Consumido]]</f>
        <v>-4.6000000000000014</v>
      </c>
      <c r="G583" s="5" cm="1">
        <f t="array" ref="G583">EnergiaSolar[[#This Row],[Variante ]]*CostPerKwh[Precio Promedio Kwh]</f>
        <v>-1.4260000000000004</v>
      </c>
    </row>
    <row r="584" spans="1:13" x14ac:dyDescent="0.25">
      <c r="A584" s="2">
        <v>45257</v>
      </c>
      <c r="B584">
        <v>11</v>
      </c>
      <c r="C584" s="3">
        <v>27.7</v>
      </c>
      <c r="D584" s="3">
        <v>25.5</v>
      </c>
      <c r="E584" s="5">
        <f>EnergiaSolar[[#This Row],[Producido]]-EnergiaSolar[[#This Row],[Consumido]]</f>
        <v>2.1999999999999993</v>
      </c>
      <c r="F584" s="3">
        <f>EnergiaSolar[[#This Row],[Producido]]-EnergiaSolar[[#This Row],[Consumido]]</f>
        <v>2.1999999999999993</v>
      </c>
      <c r="G584" s="5" cm="1">
        <f t="array" ref="G584">EnergiaSolar[[#This Row],[Variante ]]*CostPerKwh[Precio Promedio Kwh]</f>
        <v>0.68199999999999983</v>
      </c>
    </row>
    <row r="585" spans="1:13" x14ac:dyDescent="0.25">
      <c r="A585" s="2">
        <v>45258</v>
      </c>
      <c r="B585">
        <v>11</v>
      </c>
      <c r="C585" s="3">
        <v>33.5</v>
      </c>
      <c r="D585" s="3">
        <v>25.6</v>
      </c>
      <c r="E585" s="5">
        <f>EnergiaSolar[[#This Row],[Producido]]-EnergiaSolar[[#This Row],[Consumido]]</f>
        <v>7.8999999999999986</v>
      </c>
      <c r="F585" s="3">
        <f>EnergiaSolar[[#This Row],[Producido]]-EnergiaSolar[[#This Row],[Consumido]]</f>
        <v>7.8999999999999986</v>
      </c>
      <c r="G585" s="5" cm="1">
        <f t="array" ref="G585">EnergiaSolar[[#This Row],[Variante ]]*CostPerKwh[Precio Promedio Kwh]</f>
        <v>2.4489999999999994</v>
      </c>
    </row>
    <row r="586" spans="1:13" x14ac:dyDescent="0.25">
      <c r="A586" s="2">
        <v>45259</v>
      </c>
      <c r="B586">
        <v>11</v>
      </c>
      <c r="C586" s="3">
        <v>38.1</v>
      </c>
      <c r="D586" s="3">
        <v>26.7</v>
      </c>
      <c r="E586" s="5">
        <f>EnergiaSolar[[#This Row],[Producido]]-EnergiaSolar[[#This Row],[Consumido]]</f>
        <v>11.400000000000002</v>
      </c>
      <c r="F586" s="3">
        <f>EnergiaSolar[[#This Row],[Producido]]-EnergiaSolar[[#This Row],[Consumido]]</f>
        <v>11.400000000000002</v>
      </c>
      <c r="G586" s="5" cm="1">
        <f t="array" ref="G586">EnergiaSolar[[#This Row],[Variante ]]*CostPerKwh[Precio Promedio Kwh]</f>
        <v>3.5340000000000007</v>
      </c>
    </row>
    <row r="587" spans="1:13" x14ac:dyDescent="0.25">
      <c r="A587" s="2">
        <v>45260</v>
      </c>
      <c r="B587">
        <v>11</v>
      </c>
      <c r="C587" s="3">
        <v>35.9</v>
      </c>
      <c r="D587" s="3">
        <v>27</v>
      </c>
      <c r="E587" s="5">
        <f>EnergiaSolar[[#This Row],[Producido]]-EnergiaSolar[[#This Row],[Consumido]]</f>
        <v>8.8999999999999986</v>
      </c>
      <c r="F587" s="3">
        <f>EnergiaSolar[[#This Row],[Producido]]-EnergiaSolar[[#This Row],[Consumido]]</f>
        <v>8.8999999999999986</v>
      </c>
      <c r="G587" s="5" cm="1">
        <f t="array" ref="G587">EnergiaSolar[[#This Row],[Variante ]]*CostPerKwh[Precio Promedio Kwh]</f>
        <v>2.7589999999999995</v>
      </c>
    </row>
    <row r="588" spans="1:13" x14ac:dyDescent="0.25">
      <c r="A588" s="2">
        <v>45261</v>
      </c>
      <c r="B588">
        <v>11</v>
      </c>
      <c r="C588" s="3">
        <v>39.700000000000003</v>
      </c>
      <c r="D588" s="3">
        <v>30.9</v>
      </c>
      <c r="E588" s="5">
        <f>EnergiaSolar[[#This Row],[Producido]]-EnergiaSolar[[#This Row],[Consumido]]</f>
        <v>8.8000000000000043</v>
      </c>
      <c r="F588" s="3">
        <f>EnergiaSolar[[#This Row],[Producido]]-EnergiaSolar[[#This Row],[Consumido]]</f>
        <v>8.8000000000000043</v>
      </c>
      <c r="G588" s="5" cm="1">
        <f t="array" ref="G588">EnergiaSolar[[#This Row],[Variante ]]*CostPerKwh[Precio Promedio Kwh]</f>
        <v>2.7280000000000011</v>
      </c>
    </row>
    <row r="589" spans="1:13" x14ac:dyDescent="0.25">
      <c r="A589" s="2">
        <v>45262</v>
      </c>
      <c r="B589">
        <v>11</v>
      </c>
      <c r="C589" s="3">
        <v>37.200000000000003</v>
      </c>
      <c r="D589" s="3">
        <v>35.799999999999997</v>
      </c>
      <c r="E589" s="5">
        <f>EnergiaSolar[[#This Row],[Producido]]-EnergiaSolar[[#This Row],[Consumido]]</f>
        <v>1.4000000000000057</v>
      </c>
      <c r="F589" s="3">
        <f>EnergiaSolar[[#This Row],[Producido]]-EnergiaSolar[[#This Row],[Consumido]]</f>
        <v>1.4000000000000057</v>
      </c>
      <c r="G589" s="5" cm="1">
        <f t="array" ref="G589">EnergiaSolar[[#This Row],[Variante ]]*CostPerKwh[Precio Promedio Kwh]</f>
        <v>0.43400000000000177</v>
      </c>
    </row>
    <row r="590" spans="1:13" x14ac:dyDescent="0.25">
      <c r="A590" s="2">
        <v>45263</v>
      </c>
      <c r="B590">
        <v>11</v>
      </c>
      <c r="C590" s="3">
        <v>36.4</v>
      </c>
      <c r="D590" s="3">
        <v>36.799999999999997</v>
      </c>
      <c r="E590" s="5">
        <f>EnergiaSolar[[#This Row],[Producido]]-EnergiaSolar[[#This Row],[Consumido]]</f>
        <v>-0.39999999999999858</v>
      </c>
      <c r="F590" s="3">
        <f>EnergiaSolar[[#This Row],[Producido]]-EnergiaSolar[[#This Row],[Consumido]]</f>
        <v>-0.39999999999999858</v>
      </c>
      <c r="G590" s="5" cm="1">
        <f t="array" ref="G590">EnergiaSolar[[#This Row],[Variante ]]*CostPerKwh[Precio Promedio Kwh]</f>
        <v>-0.12399999999999956</v>
      </c>
    </row>
    <row r="591" spans="1:13" x14ac:dyDescent="0.25">
      <c r="A591" s="2">
        <v>45264</v>
      </c>
      <c r="B591">
        <v>11</v>
      </c>
      <c r="C591" s="3">
        <v>33.4</v>
      </c>
      <c r="D591" s="3">
        <v>24.1</v>
      </c>
      <c r="E591" s="5">
        <f>EnergiaSolar[[#This Row],[Producido]]-EnergiaSolar[[#This Row],[Consumido]]</f>
        <v>9.2999999999999972</v>
      </c>
      <c r="F591" s="3">
        <f>EnergiaSolar[[#This Row],[Producido]]-EnergiaSolar[[#This Row],[Consumido]]</f>
        <v>9.2999999999999972</v>
      </c>
      <c r="G591" s="5" cm="1">
        <f t="array" ref="G591">EnergiaSolar[[#This Row],[Variante ]]*CostPerKwh[Precio Promedio Kwh]</f>
        <v>2.8829999999999991</v>
      </c>
    </row>
    <row r="592" spans="1:13" x14ac:dyDescent="0.25">
      <c r="A592" s="2">
        <v>45265</v>
      </c>
      <c r="B592">
        <v>11</v>
      </c>
      <c r="C592" s="3">
        <v>39.1</v>
      </c>
      <c r="D592" s="3">
        <v>28.2</v>
      </c>
      <c r="E592" s="5">
        <f>EnergiaSolar[[#This Row],[Producido]]-EnergiaSolar[[#This Row],[Consumido]]</f>
        <v>10.900000000000002</v>
      </c>
      <c r="F592" s="3">
        <f>EnergiaSolar[[#This Row],[Producido]]-EnergiaSolar[[#This Row],[Consumido]]</f>
        <v>10.900000000000002</v>
      </c>
      <c r="G592" s="5" cm="1">
        <f t="array" ref="G592">EnergiaSolar[[#This Row],[Variante ]]*CostPerKwh[Precio Promedio Kwh]</f>
        <v>3.3790000000000004</v>
      </c>
    </row>
    <row r="593" spans="1:7" x14ac:dyDescent="0.25">
      <c r="A593" s="2">
        <v>45266</v>
      </c>
      <c r="B593">
        <v>11</v>
      </c>
      <c r="C593" s="3">
        <v>38.4</v>
      </c>
      <c r="D593" s="3">
        <v>27.3</v>
      </c>
      <c r="E593" s="5">
        <f>EnergiaSolar[[#This Row],[Producido]]-EnergiaSolar[[#This Row],[Consumido]]</f>
        <v>11.099999999999998</v>
      </c>
      <c r="F593" s="3">
        <f>EnergiaSolar[[#This Row],[Producido]]-EnergiaSolar[[#This Row],[Consumido]]</f>
        <v>11.099999999999998</v>
      </c>
      <c r="G593" s="5" cm="1">
        <f t="array" ref="G593">EnergiaSolar[[#This Row],[Variante ]]*CostPerKwh[Precio Promedio Kwh]</f>
        <v>3.4409999999999994</v>
      </c>
    </row>
    <row r="594" spans="1:7" x14ac:dyDescent="0.25">
      <c r="A594" s="2">
        <v>45267</v>
      </c>
      <c r="B594">
        <v>11</v>
      </c>
      <c r="C594" s="3">
        <v>38.9</v>
      </c>
      <c r="D594" s="3">
        <v>27</v>
      </c>
      <c r="E594" s="5">
        <f>EnergiaSolar[[#This Row],[Producido]]-EnergiaSolar[[#This Row],[Consumido]]</f>
        <v>11.899999999999999</v>
      </c>
      <c r="F594" s="3">
        <f>EnergiaSolar[[#This Row],[Producido]]-EnergiaSolar[[#This Row],[Consumido]]</f>
        <v>11.899999999999999</v>
      </c>
      <c r="G594" s="5" cm="1">
        <f t="array" ref="G594">EnergiaSolar[[#This Row],[Variante ]]*CostPerKwh[Precio Promedio Kwh]</f>
        <v>3.6889999999999996</v>
      </c>
    </row>
    <row r="595" spans="1:7" x14ac:dyDescent="0.25">
      <c r="A595" s="2">
        <v>45268</v>
      </c>
      <c r="B595">
        <v>11</v>
      </c>
      <c r="C595" s="3">
        <v>38.9</v>
      </c>
      <c r="D595" s="3">
        <v>29.5</v>
      </c>
      <c r="E595" s="5">
        <f>EnergiaSolar[[#This Row],[Producido]]-EnergiaSolar[[#This Row],[Consumido]]</f>
        <v>9.3999999999999986</v>
      </c>
      <c r="F595" s="3">
        <f>EnergiaSolar[[#This Row],[Producido]]-EnergiaSolar[[#This Row],[Consumido]]</f>
        <v>9.3999999999999986</v>
      </c>
      <c r="G595" s="5" cm="1">
        <f t="array" ref="G595">EnergiaSolar[[#This Row],[Variante ]]*CostPerKwh[Precio Promedio Kwh]</f>
        <v>2.9139999999999997</v>
      </c>
    </row>
    <row r="596" spans="1:7" x14ac:dyDescent="0.25">
      <c r="A596" s="2">
        <v>45269</v>
      </c>
      <c r="B596">
        <v>11</v>
      </c>
      <c r="C596" s="3">
        <v>39.5</v>
      </c>
      <c r="D596" s="3">
        <v>29.5</v>
      </c>
      <c r="E596" s="5">
        <f>EnergiaSolar[[#This Row],[Producido]]-EnergiaSolar[[#This Row],[Consumido]]</f>
        <v>10</v>
      </c>
      <c r="F596" s="3">
        <f>EnergiaSolar[[#This Row],[Producido]]-EnergiaSolar[[#This Row],[Consumido]]</f>
        <v>10</v>
      </c>
      <c r="G596" s="5" cm="1">
        <f t="array" ref="G596">EnergiaSolar[[#This Row],[Variante ]]*CostPerKwh[Precio Promedio Kwh]</f>
        <v>3.1</v>
      </c>
    </row>
    <row r="597" spans="1:7" x14ac:dyDescent="0.25">
      <c r="A597" s="2">
        <v>45270</v>
      </c>
      <c r="B597">
        <v>11</v>
      </c>
      <c r="C597" s="3">
        <v>19.3</v>
      </c>
      <c r="D597" s="3">
        <v>32.5</v>
      </c>
      <c r="E597" s="5">
        <f>EnergiaSolar[[#This Row],[Producido]]-EnergiaSolar[[#This Row],[Consumido]]</f>
        <v>-13.2</v>
      </c>
      <c r="F597" s="3">
        <f>EnergiaSolar[[#This Row],[Producido]]-EnergiaSolar[[#This Row],[Consumido]]</f>
        <v>-13.2</v>
      </c>
      <c r="G597" s="5" cm="1">
        <f t="array" ref="G597">EnergiaSolar[[#This Row],[Variante ]]*CostPerKwh[Precio Promedio Kwh]</f>
        <v>-4.0919999999999996</v>
      </c>
    </row>
    <row r="598" spans="1:7" x14ac:dyDescent="0.25">
      <c r="A598" s="2">
        <v>45271</v>
      </c>
      <c r="B598">
        <v>11</v>
      </c>
      <c r="C598" s="3">
        <v>34.9</v>
      </c>
      <c r="D598" s="3">
        <v>26.1</v>
      </c>
      <c r="E598" s="5">
        <f>EnergiaSolar[[#This Row],[Producido]]-EnergiaSolar[[#This Row],[Consumido]]</f>
        <v>8.7999999999999972</v>
      </c>
      <c r="F598" s="3">
        <f>EnergiaSolar[[#This Row],[Producido]]-EnergiaSolar[[#This Row],[Consumido]]</f>
        <v>8.7999999999999972</v>
      </c>
      <c r="G598" s="5" cm="1">
        <f t="array" ref="G598">EnergiaSolar[[#This Row],[Variante ]]*CostPerKwh[Precio Promedio Kwh]</f>
        <v>2.7279999999999993</v>
      </c>
    </row>
    <row r="599" spans="1:7" x14ac:dyDescent="0.25">
      <c r="A599" s="2">
        <v>45272</v>
      </c>
      <c r="B599">
        <v>12</v>
      </c>
      <c r="C599" s="3">
        <v>35.700000000000003</v>
      </c>
      <c r="D599" s="3">
        <v>24.9</v>
      </c>
      <c r="E599" s="5">
        <f>EnergiaSolar[[#This Row],[Producido]]-EnergiaSolar[[#This Row],[Consumido]]</f>
        <v>10.800000000000004</v>
      </c>
      <c r="F599" s="3">
        <f>EnergiaSolar[[#This Row],[Producido]]-EnergiaSolar[[#This Row],[Consumido]]</f>
        <v>10.800000000000004</v>
      </c>
      <c r="G599" s="5" cm="1">
        <f t="array" ref="G599">EnergiaSolar[[#This Row],[Variante ]]*CostPerKwh[Precio Promedio Kwh]</f>
        <v>3.3480000000000012</v>
      </c>
    </row>
    <row r="600" spans="1:7" x14ac:dyDescent="0.25">
      <c r="A600" s="2">
        <v>45273</v>
      </c>
      <c r="B600">
        <v>12</v>
      </c>
      <c r="C600" s="3">
        <v>26</v>
      </c>
      <c r="D600" s="3">
        <v>25.7</v>
      </c>
      <c r="E600" s="5">
        <f>EnergiaSolar[[#This Row],[Producido]]-EnergiaSolar[[#This Row],[Consumido]]</f>
        <v>0.30000000000000071</v>
      </c>
      <c r="F600" s="3">
        <f>EnergiaSolar[[#This Row],[Producido]]-EnergiaSolar[[#This Row],[Consumido]]</f>
        <v>0.30000000000000071</v>
      </c>
      <c r="G600" s="5" cm="1">
        <f t="array" ref="G600">EnergiaSolar[[#This Row],[Variante ]]*CostPerKwh[Precio Promedio Kwh]</f>
        <v>9.3000000000000221E-2</v>
      </c>
    </row>
    <row r="601" spans="1:7" x14ac:dyDescent="0.25">
      <c r="A601" s="2">
        <v>45274</v>
      </c>
      <c r="B601">
        <v>12</v>
      </c>
      <c r="C601" s="3">
        <v>28</v>
      </c>
      <c r="D601" s="3">
        <v>23.5</v>
      </c>
      <c r="E601" s="5">
        <f>EnergiaSolar[[#This Row],[Producido]]-EnergiaSolar[[#This Row],[Consumido]]</f>
        <v>4.5</v>
      </c>
      <c r="F601" s="3">
        <f>EnergiaSolar[[#This Row],[Producido]]-EnergiaSolar[[#This Row],[Consumido]]</f>
        <v>4.5</v>
      </c>
      <c r="G601" s="5" cm="1">
        <f t="array" ref="G601">EnergiaSolar[[#This Row],[Variante ]]*CostPerKwh[Precio Promedio Kwh]</f>
        <v>1.395</v>
      </c>
    </row>
    <row r="602" spans="1:7" x14ac:dyDescent="0.25">
      <c r="A602" s="2">
        <v>45275</v>
      </c>
      <c r="B602">
        <v>12</v>
      </c>
      <c r="C602" s="3">
        <v>11.4</v>
      </c>
      <c r="D602" s="3">
        <v>25</v>
      </c>
      <c r="E602" s="5">
        <f>EnergiaSolar[[#This Row],[Producido]]-EnergiaSolar[[#This Row],[Consumido]]</f>
        <v>-13.6</v>
      </c>
      <c r="F602" s="3">
        <f>EnergiaSolar[[#This Row],[Producido]]-EnergiaSolar[[#This Row],[Consumido]]</f>
        <v>-13.6</v>
      </c>
      <c r="G602" s="5" cm="1">
        <f t="array" ref="G602">EnergiaSolar[[#This Row],[Variante ]]*CostPerKwh[Precio Promedio Kwh]</f>
        <v>-4.2160000000000002</v>
      </c>
    </row>
    <row r="603" spans="1:7" x14ac:dyDescent="0.25">
      <c r="A603" s="2">
        <v>45276</v>
      </c>
      <c r="B603">
        <v>12</v>
      </c>
      <c r="C603" s="3">
        <v>34.700000000000003</v>
      </c>
      <c r="D603" s="3">
        <v>25.2</v>
      </c>
      <c r="E603" s="5">
        <f>EnergiaSolar[[#This Row],[Producido]]-EnergiaSolar[[#This Row],[Consumido]]</f>
        <v>9.5000000000000036</v>
      </c>
      <c r="F603" s="3">
        <f>EnergiaSolar[[#This Row],[Producido]]-EnergiaSolar[[#This Row],[Consumido]]</f>
        <v>9.5000000000000036</v>
      </c>
      <c r="G603" s="5" cm="1">
        <f t="array" ref="G603">EnergiaSolar[[#This Row],[Variante ]]*CostPerKwh[Precio Promedio Kwh]</f>
        <v>2.9450000000000012</v>
      </c>
    </row>
    <row r="604" spans="1:7" x14ac:dyDescent="0.25">
      <c r="A604" s="2">
        <v>45277</v>
      </c>
      <c r="B604">
        <v>12</v>
      </c>
      <c r="C604" s="3">
        <v>26.4</v>
      </c>
      <c r="D604" s="3">
        <v>29.7</v>
      </c>
      <c r="E604" s="5">
        <f>EnergiaSolar[[#This Row],[Producido]]-EnergiaSolar[[#This Row],[Consumido]]</f>
        <v>-3.3000000000000007</v>
      </c>
      <c r="F604" s="3">
        <f>EnergiaSolar[[#This Row],[Producido]]-EnergiaSolar[[#This Row],[Consumido]]</f>
        <v>-3.3000000000000007</v>
      </c>
      <c r="G604" s="5" cm="1">
        <f t="array" ref="G604">EnergiaSolar[[#This Row],[Variante ]]*CostPerKwh[Precio Promedio Kwh]</f>
        <v>-1.0230000000000001</v>
      </c>
    </row>
    <row r="605" spans="1:7" x14ac:dyDescent="0.25">
      <c r="A605" s="2">
        <v>45278</v>
      </c>
      <c r="B605">
        <v>12</v>
      </c>
      <c r="C605" s="3">
        <v>33.4</v>
      </c>
      <c r="D605" s="3">
        <v>27</v>
      </c>
      <c r="E605" s="5">
        <f>EnergiaSolar[[#This Row],[Producido]]-EnergiaSolar[[#This Row],[Consumido]]</f>
        <v>6.3999999999999986</v>
      </c>
      <c r="F605" s="3">
        <f>EnergiaSolar[[#This Row],[Producido]]-EnergiaSolar[[#This Row],[Consumido]]</f>
        <v>6.3999999999999986</v>
      </c>
      <c r="G605" s="5" cm="1">
        <f t="array" ref="G605">EnergiaSolar[[#This Row],[Variante ]]*CostPerKwh[Precio Promedio Kwh]</f>
        <v>1.9839999999999995</v>
      </c>
    </row>
    <row r="606" spans="1:7" x14ac:dyDescent="0.25">
      <c r="A606" s="2">
        <v>45279</v>
      </c>
      <c r="B606">
        <v>12</v>
      </c>
      <c r="C606" s="3">
        <v>26.6</v>
      </c>
      <c r="D606" s="3">
        <v>22.7</v>
      </c>
      <c r="E606" s="5">
        <f>EnergiaSolar[[#This Row],[Producido]]-EnergiaSolar[[#This Row],[Consumido]]</f>
        <v>3.9000000000000021</v>
      </c>
      <c r="F606" s="3">
        <f>EnergiaSolar[[#This Row],[Producido]]-EnergiaSolar[[#This Row],[Consumido]]</f>
        <v>3.9000000000000021</v>
      </c>
      <c r="G606" s="5" cm="1">
        <f t="array" ref="G606">EnergiaSolar[[#This Row],[Variante ]]*CostPerKwh[Precio Promedio Kwh]</f>
        <v>1.2090000000000007</v>
      </c>
    </row>
    <row r="607" spans="1:7" x14ac:dyDescent="0.25">
      <c r="A607" s="2">
        <v>45280</v>
      </c>
      <c r="B607">
        <v>12</v>
      </c>
      <c r="C607" s="3">
        <v>30.2</v>
      </c>
      <c r="D607" s="3">
        <v>25.3</v>
      </c>
      <c r="E607" s="5">
        <f>EnergiaSolar[[#This Row],[Producido]]-EnergiaSolar[[#This Row],[Consumido]]</f>
        <v>4.8999999999999986</v>
      </c>
      <c r="F607" s="3">
        <f>EnergiaSolar[[#This Row],[Producido]]-EnergiaSolar[[#This Row],[Consumido]]</f>
        <v>4.8999999999999986</v>
      </c>
      <c r="G607" s="5" cm="1">
        <f t="array" ref="G607">EnergiaSolar[[#This Row],[Variante ]]*CostPerKwh[Precio Promedio Kwh]</f>
        <v>1.5189999999999995</v>
      </c>
    </row>
    <row r="608" spans="1:7" x14ac:dyDescent="0.25">
      <c r="A608" s="2">
        <v>45281</v>
      </c>
      <c r="B608">
        <v>12</v>
      </c>
      <c r="C608" s="3">
        <v>30.6</v>
      </c>
      <c r="D608" s="3">
        <v>26.5</v>
      </c>
      <c r="E608" s="5">
        <f>EnergiaSolar[[#This Row],[Producido]]-EnergiaSolar[[#This Row],[Consumido]]</f>
        <v>4.1000000000000014</v>
      </c>
      <c r="F608" s="3">
        <f>EnergiaSolar[[#This Row],[Producido]]-EnergiaSolar[[#This Row],[Consumido]]</f>
        <v>4.1000000000000014</v>
      </c>
      <c r="G608" s="5" cm="1">
        <f t="array" ref="G608">EnergiaSolar[[#This Row],[Variante ]]*CostPerKwh[Precio Promedio Kwh]</f>
        <v>1.2710000000000004</v>
      </c>
    </row>
    <row r="609" spans="1:7" x14ac:dyDescent="0.25">
      <c r="A609" s="2">
        <v>45282</v>
      </c>
      <c r="B609">
        <v>12</v>
      </c>
      <c r="C609" s="3">
        <v>19.600000000000001</v>
      </c>
      <c r="D609" s="3">
        <v>21.7</v>
      </c>
      <c r="E609" s="5">
        <f>EnergiaSolar[[#This Row],[Producido]]-EnergiaSolar[[#This Row],[Consumido]]</f>
        <v>-2.0999999999999979</v>
      </c>
      <c r="F609" s="3">
        <f>EnergiaSolar[[#This Row],[Producido]]-EnergiaSolar[[#This Row],[Consumido]]</f>
        <v>-2.0999999999999979</v>
      </c>
      <c r="G609" s="5" cm="1">
        <f t="array" ref="G609">EnergiaSolar[[#This Row],[Variante ]]*CostPerKwh[Precio Promedio Kwh]</f>
        <v>-0.65099999999999936</v>
      </c>
    </row>
    <row r="610" spans="1:7" x14ac:dyDescent="0.25">
      <c r="A610" s="2">
        <v>45283</v>
      </c>
      <c r="B610">
        <v>12</v>
      </c>
      <c r="C610" s="3">
        <v>30.5</v>
      </c>
      <c r="D610" s="3">
        <v>27.8</v>
      </c>
      <c r="E610" s="5">
        <f>EnergiaSolar[[#This Row],[Producido]]-EnergiaSolar[[#This Row],[Consumido]]</f>
        <v>2.6999999999999993</v>
      </c>
      <c r="F610" s="3">
        <f>EnergiaSolar[[#This Row],[Producido]]-EnergiaSolar[[#This Row],[Consumido]]</f>
        <v>2.6999999999999993</v>
      </c>
      <c r="G610" s="5" cm="1">
        <f t="array" ref="G610">EnergiaSolar[[#This Row],[Variante ]]*CostPerKwh[Precio Promedio Kwh]</f>
        <v>0.83699999999999974</v>
      </c>
    </row>
    <row r="611" spans="1:7" x14ac:dyDescent="0.25">
      <c r="A611" s="2">
        <v>45284</v>
      </c>
      <c r="B611">
        <v>12</v>
      </c>
      <c r="C611" s="3">
        <v>37</v>
      </c>
      <c r="D611" s="3">
        <v>28</v>
      </c>
      <c r="E611" s="5">
        <f>EnergiaSolar[[#This Row],[Producido]]-EnergiaSolar[[#This Row],[Consumido]]</f>
        <v>9</v>
      </c>
      <c r="F611" s="3">
        <f>EnergiaSolar[[#This Row],[Producido]]-EnergiaSolar[[#This Row],[Consumido]]</f>
        <v>9</v>
      </c>
      <c r="G611" s="5" cm="1">
        <f t="array" ref="G611">EnergiaSolar[[#This Row],[Variante ]]*CostPerKwh[Precio Promedio Kwh]</f>
        <v>2.79</v>
      </c>
    </row>
    <row r="612" spans="1:7" x14ac:dyDescent="0.25">
      <c r="A612" s="2">
        <v>45285</v>
      </c>
      <c r="B612">
        <v>12</v>
      </c>
      <c r="C612" s="3">
        <v>31.7</v>
      </c>
      <c r="D612" s="3">
        <v>25.3</v>
      </c>
      <c r="E612" s="5">
        <f>EnergiaSolar[[#This Row],[Producido]]-EnergiaSolar[[#This Row],[Consumido]]</f>
        <v>6.3999999999999986</v>
      </c>
      <c r="F612" s="3">
        <f>EnergiaSolar[[#This Row],[Producido]]-EnergiaSolar[[#This Row],[Consumido]]</f>
        <v>6.3999999999999986</v>
      </c>
      <c r="G612" s="5" cm="1">
        <f t="array" ref="G612">EnergiaSolar[[#This Row],[Variante ]]*CostPerKwh[Precio Promedio Kwh]</f>
        <v>1.9839999999999995</v>
      </c>
    </row>
    <row r="613" spans="1:7" x14ac:dyDescent="0.25">
      <c r="A613" s="2">
        <v>45286</v>
      </c>
      <c r="B613">
        <v>12</v>
      </c>
      <c r="C613" s="3">
        <v>34.200000000000003</v>
      </c>
      <c r="D613" s="3">
        <v>27.1</v>
      </c>
      <c r="E613" s="5">
        <f>EnergiaSolar[[#This Row],[Producido]]-EnergiaSolar[[#This Row],[Consumido]]</f>
        <v>7.1000000000000014</v>
      </c>
      <c r="F613" s="3">
        <f>EnergiaSolar[[#This Row],[Producido]]-EnergiaSolar[[#This Row],[Consumido]]</f>
        <v>7.1000000000000014</v>
      </c>
      <c r="G613" s="5" cm="1">
        <f t="array" ref="G613">EnergiaSolar[[#This Row],[Variante ]]*CostPerKwh[Precio Promedio Kwh]</f>
        <v>2.2010000000000005</v>
      </c>
    </row>
    <row r="614" spans="1:7" x14ac:dyDescent="0.25">
      <c r="A614" s="2">
        <v>45287</v>
      </c>
      <c r="B614">
        <v>12</v>
      </c>
      <c r="C614" s="3">
        <v>39.9</v>
      </c>
      <c r="D614" s="3">
        <v>26.9</v>
      </c>
      <c r="E614" s="5">
        <f>EnergiaSolar[[#This Row],[Producido]]-EnergiaSolar[[#This Row],[Consumido]]</f>
        <v>13</v>
      </c>
      <c r="F614" s="3">
        <f>EnergiaSolar[[#This Row],[Producido]]-EnergiaSolar[[#This Row],[Consumido]]</f>
        <v>13</v>
      </c>
      <c r="G614" s="5" cm="1">
        <f t="array" ref="G614">EnergiaSolar[[#This Row],[Variante ]]*CostPerKwh[Precio Promedio Kwh]</f>
        <v>4.03</v>
      </c>
    </row>
    <row r="615" spans="1:7" x14ac:dyDescent="0.25">
      <c r="A615" s="2">
        <v>45288</v>
      </c>
      <c r="B615">
        <v>12</v>
      </c>
      <c r="C615" s="3">
        <v>36.5</v>
      </c>
      <c r="D615" s="3">
        <v>27.6</v>
      </c>
      <c r="E615" s="5">
        <f>EnergiaSolar[[#This Row],[Producido]]-EnergiaSolar[[#This Row],[Consumido]]</f>
        <v>8.8999999999999986</v>
      </c>
      <c r="F615" s="3">
        <f>EnergiaSolar[[#This Row],[Producido]]-EnergiaSolar[[#This Row],[Consumido]]</f>
        <v>8.8999999999999986</v>
      </c>
      <c r="G615" s="5" cm="1">
        <f t="array" ref="G615">EnergiaSolar[[#This Row],[Variante ]]*CostPerKwh[Precio Promedio Kwh]</f>
        <v>2.7589999999999995</v>
      </c>
    </row>
    <row r="616" spans="1:7" x14ac:dyDescent="0.25">
      <c r="A616" s="2">
        <v>45289</v>
      </c>
      <c r="B616">
        <v>12</v>
      </c>
      <c r="C616" s="3">
        <v>38.700000000000003</v>
      </c>
      <c r="D616" s="3">
        <v>27.3</v>
      </c>
      <c r="E616" s="5">
        <f>EnergiaSolar[[#This Row],[Producido]]-EnergiaSolar[[#This Row],[Consumido]]</f>
        <v>11.400000000000002</v>
      </c>
      <c r="F616" s="3">
        <f>EnergiaSolar[[#This Row],[Producido]]-EnergiaSolar[[#This Row],[Consumido]]</f>
        <v>11.400000000000002</v>
      </c>
      <c r="G616" s="5" cm="1">
        <f t="array" ref="G616">EnergiaSolar[[#This Row],[Variante ]]*CostPerKwh[Precio Promedio Kwh]</f>
        <v>3.5340000000000007</v>
      </c>
    </row>
    <row r="617" spans="1:7" x14ac:dyDescent="0.25">
      <c r="A617" s="2">
        <v>45290</v>
      </c>
      <c r="B617">
        <v>12</v>
      </c>
      <c r="C617" s="3">
        <v>37.9</v>
      </c>
      <c r="D617" s="3">
        <v>24.4</v>
      </c>
      <c r="E617" s="5">
        <f>EnergiaSolar[[#This Row],[Producido]]-EnergiaSolar[[#This Row],[Consumido]]</f>
        <v>13.5</v>
      </c>
      <c r="F617" s="3">
        <f>EnergiaSolar[[#This Row],[Producido]]-EnergiaSolar[[#This Row],[Consumido]]</f>
        <v>13.5</v>
      </c>
      <c r="G617" s="5" cm="1">
        <f t="array" ref="G617">EnergiaSolar[[#This Row],[Variante ]]*CostPerKwh[Precio Promedio Kwh]</f>
        <v>4.1849999999999996</v>
      </c>
    </row>
    <row r="618" spans="1:7" x14ac:dyDescent="0.25">
      <c r="A618" s="2">
        <v>45291</v>
      </c>
      <c r="B618">
        <v>12</v>
      </c>
      <c r="C618" s="3">
        <v>34.5</v>
      </c>
      <c r="D618" s="3">
        <v>29.5</v>
      </c>
      <c r="E618" s="5">
        <f>EnergiaSolar[[#This Row],[Producido]]-EnergiaSolar[[#This Row],[Consumido]]</f>
        <v>5</v>
      </c>
      <c r="F618" s="3">
        <f>EnergiaSolar[[#This Row],[Producido]]-EnergiaSolar[[#This Row],[Consumido]]</f>
        <v>5</v>
      </c>
      <c r="G618" s="5" cm="1">
        <f t="array" ref="G618">EnergiaSolar[[#This Row],[Variante ]]*CostPerKwh[Precio Promedio Kwh]</f>
        <v>1.55</v>
      </c>
    </row>
    <row r="619" spans="1:7" x14ac:dyDescent="0.25">
      <c r="A619" s="2">
        <v>45292</v>
      </c>
      <c r="B619">
        <v>12</v>
      </c>
      <c r="C619" s="3">
        <v>33.9</v>
      </c>
      <c r="D619" s="3">
        <v>25.7</v>
      </c>
      <c r="E619" s="5">
        <f>EnergiaSolar[[#This Row],[Producido]]-EnergiaSolar[[#This Row],[Consumido]]</f>
        <v>8.1999999999999993</v>
      </c>
      <c r="F619" s="3">
        <f>EnergiaSolar[[#This Row],[Producido]]-EnergiaSolar[[#This Row],[Consumido]]</f>
        <v>8.1999999999999993</v>
      </c>
      <c r="G619" s="3" cm="1">
        <f t="array" ref="G619">EnergiaSolar[[#This Row],[Variante ]]*CostPerKwh[Precio Promedio Kwh]</f>
        <v>2.5419999999999998</v>
      </c>
    </row>
    <row r="620" spans="1:7" x14ac:dyDescent="0.25">
      <c r="A620" s="2">
        <v>45293</v>
      </c>
      <c r="B620">
        <v>12</v>
      </c>
      <c r="C620" s="3">
        <v>39.4</v>
      </c>
      <c r="D620" s="3">
        <v>30.9</v>
      </c>
      <c r="E620" s="5">
        <f>EnergiaSolar[[#This Row],[Producido]]-EnergiaSolar[[#This Row],[Consumido]]</f>
        <v>8.5</v>
      </c>
      <c r="F620" s="3">
        <f>EnergiaSolar[[#This Row],[Producido]]-EnergiaSolar[[#This Row],[Consumido]]</f>
        <v>8.5</v>
      </c>
      <c r="G620" s="3" cm="1">
        <f t="array" ref="G620">EnergiaSolar[[#This Row],[Variante ]]*CostPerKwh[Precio Promedio Kwh]</f>
        <v>2.6349999999999998</v>
      </c>
    </row>
    <row r="621" spans="1:7" x14ac:dyDescent="0.25">
      <c r="A621" s="2">
        <v>45294</v>
      </c>
      <c r="B621">
        <v>12</v>
      </c>
      <c r="C621" s="3">
        <v>36.299999999999997</v>
      </c>
      <c r="D621" s="3">
        <v>27</v>
      </c>
      <c r="E621" s="5">
        <f>EnergiaSolar[[#This Row],[Producido]]-EnergiaSolar[[#This Row],[Consumido]]</f>
        <v>9.2999999999999972</v>
      </c>
      <c r="F621" s="3">
        <f>EnergiaSolar[[#This Row],[Producido]]-EnergiaSolar[[#This Row],[Consumido]]</f>
        <v>9.2999999999999972</v>
      </c>
      <c r="G621" s="3" cm="1">
        <f t="array" ref="G621">EnergiaSolar[[#This Row],[Variante ]]*CostPerKwh[Precio Promedio Kwh]</f>
        <v>2.8829999999999991</v>
      </c>
    </row>
    <row r="622" spans="1:7" x14ac:dyDescent="0.25">
      <c r="A622" s="2">
        <v>45295</v>
      </c>
      <c r="B622">
        <v>12</v>
      </c>
      <c r="C622" s="3">
        <v>37.1</v>
      </c>
      <c r="D622" s="3">
        <v>26.7</v>
      </c>
      <c r="E622" s="5">
        <f>EnergiaSolar[[#This Row],[Producido]]-EnergiaSolar[[#This Row],[Consumido]]</f>
        <v>10.400000000000002</v>
      </c>
      <c r="F622" s="3">
        <f>EnergiaSolar[[#This Row],[Producido]]-EnergiaSolar[[#This Row],[Consumido]]</f>
        <v>10.400000000000002</v>
      </c>
      <c r="G622" s="3" cm="1">
        <f t="array" ref="G622">EnergiaSolar[[#This Row],[Variante ]]*CostPerKwh[Precio Promedio Kwh]</f>
        <v>3.2240000000000006</v>
      </c>
    </row>
    <row r="623" spans="1:7" x14ac:dyDescent="0.25">
      <c r="A623" s="2">
        <v>45296</v>
      </c>
      <c r="B623">
        <v>12</v>
      </c>
      <c r="C623" s="3">
        <v>38.200000000000003</v>
      </c>
      <c r="D623" s="3">
        <v>29.3</v>
      </c>
      <c r="E623" s="5">
        <f>EnergiaSolar[[#This Row],[Producido]]-EnergiaSolar[[#This Row],[Consumido]]</f>
        <v>8.9000000000000021</v>
      </c>
      <c r="F623" s="3">
        <f>EnergiaSolar[[#This Row],[Producido]]-EnergiaSolar[[#This Row],[Consumido]]</f>
        <v>8.9000000000000021</v>
      </c>
      <c r="G623" s="3" cm="1">
        <f t="array" ref="G623">EnergiaSolar[[#This Row],[Variante ]]*CostPerKwh[Precio Promedio Kwh]</f>
        <v>2.7590000000000008</v>
      </c>
    </row>
    <row r="624" spans="1:7" x14ac:dyDescent="0.25">
      <c r="A624" s="2">
        <v>45297</v>
      </c>
      <c r="B624">
        <v>12</v>
      </c>
      <c r="C624" s="3">
        <v>25.2</v>
      </c>
      <c r="D624" s="3">
        <v>26.9</v>
      </c>
      <c r="E624" s="5">
        <f>EnergiaSolar[[#This Row],[Producido]]-EnergiaSolar[[#This Row],[Consumido]]</f>
        <v>-1.6999999999999993</v>
      </c>
      <c r="F624" s="3">
        <f>EnergiaSolar[[#This Row],[Producido]]-EnergiaSolar[[#This Row],[Consumido]]</f>
        <v>-1.6999999999999993</v>
      </c>
      <c r="G624" s="3" cm="1">
        <f t="array" ref="G624">EnergiaSolar[[#This Row],[Variante ]]*CostPerKwh[Precio Promedio Kwh]</f>
        <v>-0.5269999999999998</v>
      </c>
    </row>
    <row r="625" spans="1:7" x14ac:dyDescent="0.25">
      <c r="A625" s="2">
        <v>45298</v>
      </c>
      <c r="B625">
        <v>12</v>
      </c>
      <c r="C625" s="3">
        <v>31.5</v>
      </c>
      <c r="D625" s="3">
        <v>33.4</v>
      </c>
      <c r="E625" s="5">
        <f>EnergiaSolar[[#This Row],[Producido]]-EnergiaSolar[[#This Row],[Consumido]]</f>
        <v>-1.8999999999999986</v>
      </c>
      <c r="F625" s="3">
        <f>EnergiaSolar[[#This Row],[Producido]]-EnergiaSolar[[#This Row],[Consumido]]</f>
        <v>-1.8999999999999986</v>
      </c>
      <c r="G625" s="3" cm="1">
        <f t="array" ref="G625">EnergiaSolar[[#This Row],[Variante ]]*CostPerKwh[Precio Promedio Kwh]</f>
        <v>-0.58899999999999952</v>
      </c>
    </row>
    <row r="626" spans="1:7" x14ac:dyDescent="0.25">
      <c r="A626" s="2">
        <v>45299</v>
      </c>
      <c r="B626">
        <v>12</v>
      </c>
      <c r="C626" s="3">
        <v>36</v>
      </c>
      <c r="D626" s="3">
        <v>27.6</v>
      </c>
      <c r="E626" s="5">
        <f>EnergiaSolar[[#This Row],[Producido]]-EnergiaSolar[[#This Row],[Consumido]]</f>
        <v>8.3999999999999986</v>
      </c>
      <c r="F626" s="3">
        <f>EnergiaSolar[[#This Row],[Producido]]-EnergiaSolar[[#This Row],[Consumido]]</f>
        <v>8.3999999999999986</v>
      </c>
      <c r="G626" s="3" cm="1">
        <f t="array" ref="G626">EnergiaSolar[[#This Row],[Variante ]]*CostPerKwh[Precio Promedio Kwh]</f>
        <v>2.6039999999999996</v>
      </c>
    </row>
    <row r="627" spans="1:7" x14ac:dyDescent="0.25">
      <c r="A627" s="2">
        <v>45300</v>
      </c>
      <c r="B627">
        <v>12</v>
      </c>
      <c r="C627" s="3">
        <v>33</v>
      </c>
      <c r="D627" s="3">
        <v>27.6</v>
      </c>
      <c r="E627" s="5">
        <f>EnergiaSolar[[#This Row],[Producido]]-EnergiaSolar[[#This Row],[Consumido]]</f>
        <v>5.3999999999999986</v>
      </c>
      <c r="F627" s="3">
        <f>EnergiaSolar[[#This Row],[Producido]]-EnergiaSolar[[#This Row],[Consumido]]</f>
        <v>5.3999999999999986</v>
      </c>
      <c r="G627" s="3" cm="1">
        <f t="array" ref="G627">EnergiaSolar[[#This Row],[Variante ]]*CostPerKwh[Precio Promedio Kwh]</f>
        <v>1.6739999999999995</v>
      </c>
    </row>
    <row r="628" spans="1:7" x14ac:dyDescent="0.25">
      <c r="A628" s="2">
        <v>45301</v>
      </c>
      <c r="B628">
        <v>12</v>
      </c>
      <c r="C628" s="3">
        <v>25.9</v>
      </c>
      <c r="D628" s="3">
        <v>24.1</v>
      </c>
      <c r="E628" s="5">
        <f>EnergiaSolar[[#This Row],[Producido]]-EnergiaSolar[[#This Row],[Consumido]]</f>
        <v>1.7999999999999972</v>
      </c>
      <c r="F628" s="3">
        <f>EnergiaSolar[[#This Row],[Producido]]-EnergiaSolar[[#This Row],[Consumido]]</f>
        <v>1.7999999999999972</v>
      </c>
      <c r="G628" s="3" cm="1">
        <f t="array" ref="G628">EnergiaSolar[[#This Row],[Variante ]]*CostPerKwh[Precio Promedio Kwh]</f>
        <v>0.55799999999999916</v>
      </c>
    </row>
    <row r="629" spans="1:7" x14ac:dyDescent="0.25">
      <c r="A629" s="2">
        <v>45302</v>
      </c>
      <c r="B629">
        <v>12</v>
      </c>
      <c r="C629" s="3">
        <v>27.9</v>
      </c>
      <c r="D629" s="3">
        <v>32.1</v>
      </c>
      <c r="E629" s="5">
        <f>EnergiaSolar[[#This Row],[Producido]]-EnergiaSolar[[#This Row],[Consumido]]</f>
        <v>-4.2000000000000028</v>
      </c>
      <c r="F629" s="3">
        <f>EnergiaSolar[[#This Row],[Producido]]-EnergiaSolar[[#This Row],[Consumido]]</f>
        <v>-4.2000000000000028</v>
      </c>
      <c r="G629" s="3" cm="1">
        <f t="array" ref="G629">EnergiaSolar[[#This Row],[Variante ]]*CostPerKwh[Precio Promedio Kwh]</f>
        <v>-1.3020000000000009</v>
      </c>
    </row>
    <row r="630" spans="1:7" x14ac:dyDescent="0.25">
      <c r="A630" s="2">
        <v>45303</v>
      </c>
      <c r="B630">
        <v>12</v>
      </c>
      <c r="C630" s="3">
        <v>25.7</v>
      </c>
      <c r="D630" s="3">
        <v>27.6</v>
      </c>
      <c r="E630" s="5">
        <f>EnergiaSolar[[#This Row],[Producido]]-EnergiaSolar[[#This Row],[Consumido]]</f>
        <v>-1.9000000000000021</v>
      </c>
      <c r="F630" s="3">
        <f>EnergiaSolar[[#This Row],[Producido]]-EnergiaSolar[[#This Row],[Consumido]]</f>
        <v>-1.9000000000000021</v>
      </c>
      <c r="G630" s="3" cm="1">
        <f t="array" ref="G630">EnergiaSolar[[#This Row],[Variante ]]*CostPerKwh[Precio Promedio Kwh]</f>
        <v>-0.58900000000000063</v>
      </c>
    </row>
    <row r="631" spans="1:7" x14ac:dyDescent="0.25">
      <c r="A631" s="2">
        <v>45304</v>
      </c>
      <c r="B631">
        <v>1</v>
      </c>
      <c r="C631" s="3">
        <v>32.5</v>
      </c>
      <c r="D631" s="3">
        <v>28.3</v>
      </c>
      <c r="E631" s="5">
        <f>EnergiaSolar[[#This Row],[Producido]]-EnergiaSolar[[#This Row],[Consumido]]</f>
        <v>4.1999999999999993</v>
      </c>
      <c r="F631" s="3">
        <f>EnergiaSolar[[#This Row],[Producido]]-EnergiaSolar[[#This Row],[Consumido]]</f>
        <v>4.1999999999999993</v>
      </c>
      <c r="G631" s="3" cm="1">
        <f t="array" ref="G631">EnergiaSolar[[#This Row],[Variante ]]*CostPerKwh[Precio Promedio Kwh]</f>
        <v>1.3019999999999998</v>
      </c>
    </row>
    <row r="632" spans="1:7" x14ac:dyDescent="0.25">
      <c r="A632" s="2">
        <v>45305</v>
      </c>
      <c r="B632">
        <v>1</v>
      </c>
      <c r="C632" s="3">
        <v>34.9</v>
      </c>
      <c r="D632" s="3">
        <v>37.9</v>
      </c>
      <c r="E632" s="5">
        <f>EnergiaSolar[[#This Row],[Producido]]-EnergiaSolar[[#This Row],[Consumido]]</f>
        <v>-3</v>
      </c>
      <c r="F632" s="3">
        <f>EnergiaSolar[[#This Row],[Producido]]-EnergiaSolar[[#This Row],[Consumido]]</f>
        <v>-3</v>
      </c>
      <c r="G632" s="3" cm="1">
        <f t="array" ref="G632">EnergiaSolar[[#This Row],[Variante ]]*CostPerKwh[Precio Promedio Kwh]</f>
        <v>-0.92999999999999994</v>
      </c>
    </row>
    <row r="633" spans="1:7" x14ac:dyDescent="0.25">
      <c r="A633" s="2">
        <v>45306</v>
      </c>
      <c r="B633">
        <v>1</v>
      </c>
      <c r="C633" s="3">
        <v>26.3</v>
      </c>
      <c r="D633" s="3">
        <v>27.4</v>
      </c>
      <c r="E633" s="5">
        <f>EnergiaSolar[[#This Row],[Producido]]-EnergiaSolar[[#This Row],[Consumido]]</f>
        <v>-1.0999999999999979</v>
      </c>
      <c r="F633" s="3">
        <f>EnergiaSolar[[#This Row],[Producido]]-EnergiaSolar[[#This Row],[Consumido]]</f>
        <v>-1.0999999999999979</v>
      </c>
      <c r="G633" s="3" cm="1">
        <f t="array" ref="G633">EnergiaSolar[[#This Row],[Variante ]]*CostPerKwh[Precio Promedio Kwh]</f>
        <v>-0.34099999999999936</v>
      </c>
    </row>
    <row r="634" spans="1:7" x14ac:dyDescent="0.25">
      <c r="A634" s="2">
        <v>45307</v>
      </c>
      <c r="B634">
        <v>1</v>
      </c>
      <c r="C634" s="3">
        <v>29.3</v>
      </c>
      <c r="D634" s="3">
        <v>25.4</v>
      </c>
      <c r="E634" s="5">
        <f>EnergiaSolar[[#This Row],[Producido]]-EnergiaSolar[[#This Row],[Consumido]]</f>
        <v>3.9000000000000021</v>
      </c>
      <c r="F634" s="3">
        <f>EnergiaSolar[[#This Row],[Producido]]-EnergiaSolar[[#This Row],[Consumido]]</f>
        <v>3.9000000000000021</v>
      </c>
      <c r="G634" s="3" cm="1">
        <f t="array" ref="G634">EnergiaSolar[[#This Row],[Variante ]]*CostPerKwh[Precio Promedio Kwh]</f>
        <v>1.2090000000000007</v>
      </c>
    </row>
    <row r="635" spans="1:7" x14ac:dyDescent="0.25">
      <c r="A635" s="2">
        <v>45308</v>
      </c>
      <c r="B635">
        <v>1</v>
      </c>
      <c r="C635" s="3">
        <v>32.9</v>
      </c>
      <c r="D635" s="3">
        <v>19.3</v>
      </c>
      <c r="E635" s="5">
        <f>EnergiaSolar[[#This Row],[Producido]]-EnergiaSolar[[#This Row],[Consumido]]</f>
        <v>13.599999999999998</v>
      </c>
      <c r="F635" s="3">
        <f>EnergiaSolar[[#This Row],[Producido]]-EnergiaSolar[[#This Row],[Consumido]]</f>
        <v>13.599999999999998</v>
      </c>
      <c r="G635" s="3" cm="1">
        <f t="array" ref="G635">EnergiaSolar[[#This Row],[Variante ]]*CostPerKwh[Precio Promedio Kwh]</f>
        <v>4.2159999999999993</v>
      </c>
    </row>
    <row r="636" spans="1:7" x14ac:dyDescent="0.25">
      <c r="A636" s="2">
        <v>45309</v>
      </c>
      <c r="B636">
        <v>1</v>
      </c>
      <c r="C636" s="3">
        <v>36.4</v>
      </c>
      <c r="D636" s="3">
        <v>20</v>
      </c>
      <c r="E636" s="5">
        <f>EnergiaSolar[[#This Row],[Producido]]-EnergiaSolar[[#This Row],[Consumido]]</f>
        <v>16.399999999999999</v>
      </c>
      <c r="F636" s="3">
        <f>EnergiaSolar[[#This Row],[Producido]]-EnergiaSolar[[#This Row],[Consumido]]</f>
        <v>16.399999999999999</v>
      </c>
      <c r="G636" s="3" cm="1">
        <f t="array" ref="G636">EnergiaSolar[[#This Row],[Variante ]]*CostPerKwh[Precio Promedio Kwh]</f>
        <v>5.0839999999999996</v>
      </c>
    </row>
    <row r="637" spans="1:7" x14ac:dyDescent="0.25">
      <c r="A637" s="2">
        <v>45310</v>
      </c>
      <c r="B637">
        <v>1</v>
      </c>
      <c r="C637" s="3">
        <v>32.6</v>
      </c>
      <c r="D637" s="3">
        <v>19.899999999999999</v>
      </c>
      <c r="E637" s="5">
        <f>EnergiaSolar[[#This Row],[Producido]]-EnergiaSolar[[#This Row],[Consumido]]</f>
        <v>12.700000000000003</v>
      </c>
      <c r="F637" s="3">
        <f>EnergiaSolar[[#This Row],[Producido]]-EnergiaSolar[[#This Row],[Consumido]]</f>
        <v>12.700000000000003</v>
      </c>
      <c r="G637" s="3" cm="1">
        <f t="array" ref="G637">EnergiaSolar[[#This Row],[Variante ]]*CostPerKwh[Precio Promedio Kwh]</f>
        <v>3.9370000000000007</v>
      </c>
    </row>
    <row r="638" spans="1:7" x14ac:dyDescent="0.25">
      <c r="A638" s="2">
        <v>45311</v>
      </c>
      <c r="B638">
        <v>1</v>
      </c>
      <c r="C638" s="3">
        <v>40.5</v>
      </c>
      <c r="D638" s="3">
        <v>22.6</v>
      </c>
      <c r="E638" s="5">
        <f>EnergiaSolar[[#This Row],[Producido]]-EnergiaSolar[[#This Row],[Consumido]]</f>
        <v>17.899999999999999</v>
      </c>
      <c r="F638" s="3">
        <f>EnergiaSolar[[#This Row],[Producido]]-EnergiaSolar[[#This Row],[Consumido]]</f>
        <v>17.899999999999999</v>
      </c>
      <c r="G638" s="3" cm="1">
        <f t="array" ref="G638">EnergiaSolar[[#This Row],[Variante ]]*CostPerKwh[Precio Promedio Kwh]</f>
        <v>5.5489999999999995</v>
      </c>
    </row>
    <row r="639" spans="1:7" x14ac:dyDescent="0.25">
      <c r="A639" s="2">
        <v>45312</v>
      </c>
      <c r="B639">
        <v>1</v>
      </c>
      <c r="C639" s="3">
        <v>42.1</v>
      </c>
      <c r="D639" s="3">
        <v>24.5</v>
      </c>
      <c r="E639" s="5">
        <f>EnergiaSolar[[#This Row],[Producido]]-EnergiaSolar[[#This Row],[Consumido]]</f>
        <v>17.600000000000001</v>
      </c>
      <c r="F639" s="3">
        <f>EnergiaSolar[[#This Row],[Producido]]-EnergiaSolar[[#This Row],[Consumido]]</f>
        <v>17.600000000000001</v>
      </c>
      <c r="G639" s="3" cm="1">
        <f t="array" ref="G639">EnergiaSolar[[#This Row],[Variante ]]*CostPerKwh[Precio Promedio Kwh]</f>
        <v>5.4560000000000004</v>
      </c>
    </row>
    <row r="640" spans="1:7" x14ac:dyDescent="0.25">
      <c r="A640" s="2">
        <v>45313</v>
      </c>
      <c r="B640">
        <v>1</v>
      </c>
      <c r="C640" s="3">
        <v>40.700000000000003</v>
      </c>
      <c r="D640" s="3">
        <v>20.2</v>
      </c>
      <c r="E640" s="5">
        <f>EnergiaSolar[[#This Row],[Producido]]-EnergiaSolar[[#This Row],[Consumido]]</f>
        <v>20.500000000000004</v>
      </c>
      <c r="F640" s="3">
        <f>EnergiaSolar[[#This Row],[Producido]]-EnergiaSolar[[#This Row],[Consumido]]</f>
        <v>20.500000000000004</v>
      </c>
      <c r="G640" s="3" cm="1">
        <f t="array" ref="G640">EnergiaSolar[[#This Row],[Variante ]]*CostPerKwh[Precio Promedio Kwh]</f>
        <v>6.3550000000000013</v>
      </c>
    </row>
    <row r="641" spans="1:7" x14ac:dyDescent="0.25">
      <c r="A641" s="2">
        <v>45314</v>
      </c>
      <c r="B641">
        <v>1</v>
      </c>
      <c r="C641" s="3">
        <v>43</v>
      </c>
      <c r="D641" s="3">
        <v>19.399999999999999</v>
      </c>
      <c r="E641" s="5">
        <f>EnergiaSolar[[#This Row],[Producido]]-EnergiaSolar[[#This Row],[Consumido]]</f>
        <v>23.6</v>
      </c>
      <c r="F641" s="3">
        <f>EnergiaSolar[[#This Row],[Producido]]-EnergiaSolar[[#This Row],[Consumido]]</f>
        <v>23.6</v>
      </c>
      <c r="G641" s="3" cm="1">
        <f t="array" ref="G641">EnergiaSolar[[#This Row],[Variante ]]*CostPerKwh[Precio Promedio Kwh]</f>
        <v>7.3160000000000007</v>
      </c>
    </row>
    <row r="642" spans="1:7" x14ac:dyDescent="0.25">
      <c r="A642" s="2">
        <v>45315</v>
      </c>
      <c r="B642">
        <v>1</v>
      </c>
      <c r="C642" s="3">
        <v>26.3</v>
      </c>
      <c r="D642" s="3">
        <v>23.8</v>
      </c>
      <c r="E642" s="5">
        <f>EnergiaSolar[[#This Row],[Producido]]-EnergiaSolar[[#This Row],[Consumido]]</f>
        <v>2.5</v>
      </c>
      <c r="F642" s="3">
        <f>EnergiaSolar[[#This Row],[Producido]]-EnergiaSolar[[#This Row],[Consumido]]</f>
        <v>2.5</v>
      </c>
      <c r="G642" s="3" cm="1">
        <f t="array" ref="G642">EnergiaSolar[[#This Row],[Variante ]]*CostPerKwh[Precio Promedio Kwh]</f>
        <v>0.77500000000000002</v>
      </c>
    </row>
    <row r="643" spans="1:7" x14ac:dyDescent="0.25">
      <c r="A643" s="2">
        <v>45316</v>
      </c>
      <c r="B643">
        <v>1</v>
      </c>
      <c r="C643" s="3">
        <v>30.9</v>
      </c>
      <c r="D643" s="3">
        <v>30.9</v>
      </c>
      <c r="E643" s="5">
        <f>EnergiaSolar[[#This Row],[Producido]]-EnergiaSolar[[#This Row],[Consumido]]</f>
        <v>0</v>
      </c>
      <c r="F643" s="3">
        <f>EnergiaSolar[[#This Row],[Producido]]-EnergiaSolar[[#This Row],[Consumido]]</f>
        <v>0</v>
      </c>
      <c r="G643" s="3" cm="1">
        <f t="array" ref="G643">EnergiaSolar[[#This Row],[Variante ]]*CostPerKwh[Precio Promedio Kwh]</f>
        <v>0</v>
      </c>
    </row>
    <row r="644" spans="1:7" x14ac:dyDescent="0.25">
      <c r="A644" s="2">
        <v>45317</v>
      </c>
      <c r="B644">
        <v>1</v>
      </c>
      <c r="C644" s="3">
        <v>40.299999999999997</v>
      </c>
      <c r="D644" s="3">
        <v>25.8</v>
      </c>
      <c r="E644" s="5">
        <f>EnergiaSolar[[#This Row],[Producido]]-EnergiaSolar[[#This Row],[Consumido]]</f>
        <v>14.499999999999996</v>
      </c>
      <c r="F644" s="3">
        <f>EnergiaSolar[[#This Row],[Producido]]-EnergiaSolar[[#This Row],[Consumido]]</f>
        <v>14.499999999999996</v>
      </c>
      <c r="G644" s="3" cm="1">
        <f t="array" ref="G644">EnergiaSolar[[#This Row],[Variante ]]*CostPerKwh[Precio Promedio Kwh]</f>
        <v>4.4949999999999992</v>
      </c>
    </row>
    <row r="645" spans="1:7" x14ac:dyDescent="0.25">
      <c r="A645" s="2">
        <v>45318</v>
      </c>
      <c r="B645">
        <v>1</v>
      </c>
      <c r="C645" s="3">
        <v>39</v>
      </c>
      <c r="D645" s="3">
        <v>30.9</v>
      </c>
      <c r="E645" s="5">
        <f>EnergiaSolar[[#This Row],[Producido]]-EnergiaSolar[[#This Row],[Consumido]]</f>
        <v>8.1000000000000014</v>
      </c>
      <c r="F645" s="3">
        <f>EnergiaSolar[[#This Row],[Producido]]-EnergiaSolar[[#This Row],[Consumido]]</f>
        <v>8.1000000000000014</v>
      </c>
      <c r="G645" s="3" cm="1">
        <f t="array" ref="G645">EnergiaSolar[[#This Row],[Variante ]]*CostPerKwh[Precio Promedio Kwh]</f>
        <v>2.5110000000000006</v>
      </c>
    </row>
    <row r="646" spans="1:7" x14ac:dyDescent="0.25">
      <c r="A646" s="2">
        <v>45319</v>
      </c>
      <c r="B646">
        <v>1</v>
      </c>
      <c r="C646" s="3">
        <v>34</v>
      </c>
      <c r="D646" s="3">
        <v>30.4</v>
      </c>
      <c r="E646" s="5">
        <f>EnergiaSolar[[#This Row],[Producido]]-EnergiaSolar[[#This Row],[Consumido]]</f>
        <v>3.6000000000000014</v>
      </c>
      <c r="F646" s="3">
        <f>EnergiaSolar[[#This Row],[Producido]]-EnergiaSolar[[#This Row],[Consumido]]</f>
        <v>3.6000000000000014</v>
      </c>
      <c r="G646" s="3" cm="1">
        <f t="array" ref="G646">EnergiaSolar[[#This Row],[Variante ]]*CostPerKwh[Precio Promedio Kwh]</f>
        <v>1.1160000000000003</v>
      </c>
    </row>
    <row r="647" spans="1:7" x14ac:dyDescent="0.25">
      <c r="A647" s="2">
        <v>45320</v>
      </c>
      <c r="B647">
        <v>1</v>
      </c>
      <c r="C647" s="3">
        <v>43.3</v>
      </c>
      <c r="D647" s="3">
        <v>23.5</v>
      </c>
      <c r="E647" s="5">
        <f>EnergiaSolar[[#This Row],[Producido]]-EnergiaSolar[[#This Row],[Consumido]]</f>
        <v>19.799999999999997</v>
      </c>
      <c r="F647" s="3">
        <f>EnergiaSolar[[#This Row],[Producido]]-EnergiaSolar[[#This Row],[Consumido]]</f>
        <v>19.799999999999997</v>
      </c>
      <c r="G647" s="3" cm="1">
        <f t="array" ref="G647">EnergiaSolar[[#This Row],[Variante ]]*CostPerKwh[Precio Promedio Kwh]</f>
        <v>6.137999999999999</v>
      </c>
    </row>
    <row r="648" spans="1:7" x14ac:dyDescent="0.25">
      <c r="A648" s="2">
        <v>45321</v>
      </c>
      <c r="B648">
        <v>1</v>
      </c>
      <c r="C648" s="3">
        <v>31.1</v>
      </c>
      <c r="D648" s="3">
        <v>23.5</v>
      </c>
      <c r="E648" s="5">
        <f>EnergiaSolar[[#This Row],[Producido]]-EnergiaSolar[[#This Row],[Consumido]]</f>
        <v>7.6000000000000014</v>
      </c>
      <c r="F648" s="3">
        <f>EnergiaSolar[[#This Row],[Producido]]-EnergiaSolar[[#This Row],[Consumido]]</f>
        <v>7.6000000000000014</v>
      </c>
      <c r="G648" s="3" cm="1">
        <f t="array" ref="G648">EnergiaSolar[[#This Row],[Variante ]]*CostPerKwh[Precio Promedio Kwh]</f>
        <v>2.3560000000000003</v>
      </c>
    </row>
    <row r="649" spans="1:7" x14ac:dyDescent="0.25">
      <c r="A649" s="2">
        <v>45322</v>
      </c>
      <c r="B649">
        <v>1</v>
      </c>
      <c r="C649" s="3"/>
      <c r="D649" s="3"/>
      <c r="E649" s="5">
        <f>EnergiaSolar[[#This Row],[Producido]]-EnergiaSolar[[#This Row],[Consumido]]</f>
        <v>0</v>
      </c>
      <c r="F649" s="3">
        <f>EnergiaSolar[[#This Row],[Producido]]-EnergiaSolar[[#This Row],[Consumido]]</f>
        <v>0</v>
      </c>
      <c r="G649" s="3" cm="1">
        <f t="array" ref="G649">EnergiaSolar[[#This Row],[Variante ]]*CostPerKwh[Precio Promedio Kwh]</f>
        <v>0</v>
      </c>
    </row>
    <row r="650" spans="1:7" x14ac:dyDescent="0.25">
      <c r="A650" s="2">
        <v>45323</v>
      </c>
      <c r="B650">
        <v>1</v>
      </c>
      <c r="C650" s="3"/>
      <c r="D650" s="3"/>
      <c r="E650" s="5">
        <f>EnergiaSolar[[#This Row],[Producido]]-EnergiaSolar[[#This Row],[Consumido]]</f>
        <v>0</v>
      </c>
      <c r="F650" s="3">
        <f>EnergiaSolar[[#This Row],[Producido]]-EnergiaSolar[[#This Row],[Consumido]]</f>
        <v>0</v>
      </c>
      <c r="G650" s="3" cm="1">
        <f t="array" ref="G650">EnergiaSolar[[#This Row],[Variante ]]*CostPerKwh[Precio Promedio Kwh]</f>
        <v>0</v>
      </c>
    </row>
    <row r="651" spans="1:7" x14ac:dyDescent="0.25">
      <c r="A651" s="2">
        <v>45324</v>
      </c>
      <c r="B651">
        <v>1</v>
      </c>
      <c r="C651" s="3"/>
      <c r="D651" s="3"/>
      <c r="E651" s="5">
        <f>EnergiaSolar[[#This Row],[Producido]]-EnergiaSolar[[#This Row],[Consumido]]</f>
        <v>0</v>
      </c>
      <c r="F651" s="3">
        <f>EnergiaSolar[[#This Row],[Producido]]-EnergiaSolar[[#This Row],[Consumido]]</f>
        <v>0</v>
      </c>
      <c r="G651" s="3" cm="1">
        <f t="array" ref="G651">EnergiaSolar[[#This Row],[Variante ]]*CostPerKwh[Precio Promedio Kwh]</f>
        <v>0</v>
      </c>
    </row>
    <row r="652" spans="1:7" x14ac:dyDescent="0.25">
      <c r="A652" s="2">
        <v>45325</v>
      </c>
      <c r="B652">
        <v>1</v>
      </c>
      <c r="C652" s="3"/>
      <c r="D652" s="3"/>
      <c r="E652" s="5">
        <f>EnergiaSolar[[#This Row],[Producido]]-EnergiaSolar[[#This Row],[Consumido]]</f>
        <v>0</v>
      </c>
      <c r="F652" s="3">
        <f>EnergiaSolar[[#This Row],[Producido]]-EnergiaSolar[[#This Row],[Consumido]]</f>
        <v>0</v>
      </c>
      <c r="G652" s="3" cm="1">
        <f t="array" ref="G652">EnergiaSolar[[#This Row],[Variante ]]*CostPerKwh[Precio Promedio Kwh]</f>
        <v>0</v>
      </c>
    </row>
    <row r="653" spans="1:7" x14ac:dyDescent="0.25">
      <c r="A653" s="2">
        <v>45326</v>
      </c>
      <c r="B653">
        <v>1</v>
      </c>
      <c r="C653" s="3"/>
      <c r="D653" s="3"/>
      <c r="E653" s="5">
        <f>EnergiaSolar[[#This Row],[Producido]]-EnergiaSolar[[#This Row],[Consumido]]</f>
        <v>0</v>
      </c>
      <c r="F653" s="3">
        <f>EnergiaSolar[[#This Row],[Producido]]-EnergiaSolar[[#This Row],[Consumido]]</f>
        <v>0</v>
      </c>
      <c r="G653" s="3" cm="1">
        <f t="array" ref="G653">EnergiaSolar[[#This Row],[Variante ]]*CostPerKwh[Precio Promedio Kwh]</f>
        <v>0</v>
      </c>
    </row>
    <row r="654" spans="1:7" x14ac:dyDescent="0.25">
      <c r="A654" s="2">
        <v>45327</v>
      </c>
      <c r="B654">
        <v>1</v>
      </c>
      <c r="C654" s="3"/>
      <c r="D654" s="3"/>
      <c r="E654" s="5">
        <f>EnergiaSolar[[#This Row],[Producido]]-EnergiaSolar[[#This Row],[Consumido]]</f>
        <v>0</v>
      </c>
      <c r="F654" s="3">
        <f>EnergiaSolar[[#This Row],[Producido]]-EnergiaSolar[[#This Row],[Consumido]]</f>
        <v>0</v>
      </c>
      <c r="G654" s="3" cm="1">
        <f t="array" ref="G654">EnergiaSolar[[#This Row],[Variante ]]*CostPerKwh[Precio Promedio Kwh]</f>
        <v>0</v>
      </c>
    </row>
    <row r="655" spans="1:7" x14ac:dyDescent="0.25">
      <c r="A655" s="2">
        <v>45328</v>
      </c>
      <c r="B655">
        <v>1</v>
      </c>
      <c r="C655" s="3"/>
      <c r="D655" s="3"/>
      <c r="E655" s="5">
        <f>EnergiaSolar[[#This Row],[Producido]]-EnergiaSolar[[#This Row],[Consumido]]</f>
        <v>0</v>
      </c>
      <c r="F655" s="3">
        <f>EnergiaSolar[[#This Row],[Producido]]-EnergiaSolar[[#This Row],[Consumido]]</f>
        <v>0</v>
      </c>
      <c r="G655" s="3" cm="1">
        <f t="array" ref="G655">EnergiaSolar[[#This Row],[Variante ]]*CostPerKwh[Precio Promedio Kwh]</f>
        <v>0</v>
      </c>
    </row>
    <row r="656" spans="1:7" x14ac:dyDescent="0.25">
      <c r="A656" s="2">
        <v>45329</v>
      </c>
      <c r="B656">
        <v>1</v>
      </c>
      <c r="C656" s="3"/>
      <c r="D656" s="3"/>
      <c r="E656" s="5">
        <f>EnergiaSolar[[#This Row],[Producido]]-EnergiaSolar[[#This Row],[Consumido]]</f>
        <v>0</v>
      </c>
      <c r="F656" s="3">
        <f>EnergiaSolar[[#This Row],[Producido]]-EnergiaSolar[[#This Row],[Consumido]]</f>
        <v>0</v>
      </c>
      <c r="G656" s="3" cm="1">
        <f t="array" ref="G656">EnergiaSolar[[#This Row],[Variante ]]*CostPerKwh[Precio Promedio Kwh]</f>
        <v>0</v>
      </c>
    </row>
    <row r="657" spans="1:7" x14ac:dyDescent="0.25">
      <c r="A657" s="2">
        <v>45330</v>
      </c>
      <c r="B657">
        <v>1</v>
      </c>
      <c r="C657" s="3"/>
      <c r="D657" s="3"/>
      <c r="E657" s="5">
        <f>EnergiaSolar[[#This Row],[Producido]]-EnergiaSolar[[#This Row],[Consumido]]</f>
        <v>0</v>
      </c>
      <c r="F657" s="3">
        <f>EnergiaSolar[[#This Row],[Producido]]-EnergiaSolar[[#This Row],[Consumido]]</f>
        <v>0</v>
      </c>
      <c r="G657" s="3" cm="1">
        <f t="array" ref="G657">EnergiaSolar[[#This Row],[Variante ]]*CostPerKwh[Precio Promedio Kwh]</f>
        <v>0</v>
      </c>
    </row>
    <row r="658" spans="1:7" x14ac:dyDescent="0.25">
      <c r="A658" s="2">
        <v>45331</v>
      </c>
      <c r="B658">
        <v>1</v>
      </c>
      <c r="C658" s="3"/>
      <c r="D658" s="3"/>
      <c r="E658" s="5">
        <f>EnergiaSolar[[#This Row],[Producido]]-EnergiaSolar[[#This Row],[Consumido]]</f>
        <v>0</v>
      </c>
      <c r="F658" s="3">
        <f>EnergiaSolar[[#This Row],[Producido]]-EnergiaSolar[[#This Row],[Consumido]]</f>
        <v>0</v>
      </c>
      <c r="G658" s="3" cm="1">
        <f t="array" ref="G658">EnergiaSolar[[#This Row],[Variante ]]*CostPerKwh[Precio Promedio Kwh]</f>
        <v>0</v>
      </c>
    </row>
    <row r="659" spans="1:7" x14ac:dyDescent="0.25">
      <c r="A659" s="2">
        <v>45332</v>
      </c>
      <c r="B659">
        <v>1</v>
      </c>
      <c r="C659" s="3"/>
      <c r="D659" s="3"/>
      <c r="E659" s="5">
        <f>EnergiaSolar[[#This Row],[Producido]]-EnergiaSolar[[#This Row],[Consumido]]</f>
        <v>0</v>
      </c>
      <c r="F659" s="3">
        <f>EnergiaSolar[[#This Row],[Producido]]-EnergiaSolar[[#This Row],[Consumido]]</f>
        <v>0</v>
      </c>
      <c r="G659" s="3" cm="1">
        <f t="array" ref="G659">EnergiaSolar[[#This Row],[Variante ]]*CostPerKwh[Precio Promedio Kwh]</f>
        <v>0</v>
      </c>
    </row>
    <row r="660" spans="1:7" x14ac:dyDescent="0.25">
      <c r="A660" s="2">
        <v>45333</v>
      </c>
      <c r="B660">
        <v>1</v>
      </c>
      <c r="C660" s="3"/>
      <c r="D660" s="3"/>
      <c r="E660" s="5">
        <f>EnergiaSolar[[#This Row],[Producido]]-EnergiaSolar[[#This Row],[Consumido]]</f>
        <v>0</v>
      </c>
      <c r="F660" s="3">
        <f>EnergiaSolar[[#This Row],[Producido]]-EnergiaSolar[[#This Row],[Consumido]]</f>
        <v>0</v>
      </c>
      <c r="G660" s="3" cm="1">
        <f t="array" ref="G660">EnergiaSolar[[#This Row],[Variante ]]*CostPerKwh[Precio Promedio Kwh]</f>
        <v>0</v>
      </c>
    </row>
  </sheetData>
  <mergeCells count="1">
    <mergeCell ref="F1:G1"/>
  </mergeCells>
  <conditionalFormatting sqref="F3:F660">
    <cfRule type="dataBar" priority="10">
      <dataBar showValue="0">
        <cfvo type="min"/>
        <cfvo type="max"/>
        <color rgb="FF63C384"/>
      </dataBar>
      <extLst>
        <ext xmlns:x14="http://schemas.microsoft.com/office/spreadsheetml/2009/9/main" uri="{B025F937-C7B1-47D3-B67F-A62EFF666E3E}">
          <x14:id>{F6E8883A-00B3-444C-A83E-C686533D5CCF}</x14:id>
        </ext>
      </extLst>
    </cfRule>
  </conditionalFormatting>
  <pageMargins left="0.7" right="0.7" top="0.75" bottom="0.75" header="0.3" footer="0.3"/>
  <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F6E8883A-00B3-444C-A83E-C686533D5CCF}">
            <x14:dataBar minLength="0" maxLength="100" gradient="0">
              <x14:cfvo type="autoMin"/>
              <x14:cfvo type="autoMax"/>
              <x14:negativeFillColor rgb="FFFF0000"/>
              <x14:axisColor rgb="FF000000"/>
            </x14:dataBar>
          </x14:cfRule>
          <xm:sqref>F3:F660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AD448-D489-4029-AFB3-29709F825A99}">
  <sheetPr codeName="Sheet3">
    <tabColor theme="9" tint="-0.499984740745262"/>
  </sheetPr>
  <dimension ref="A1:AV96"/>
  <sheetViews>
    <sheetView showGridLines="0" showRowColHeaders="0" tabSelected="1" zoomScale="115" zoomScaleNormal="115" workbookViewId="0">
      <selection activeCell="J32" sqref="J32"/>
    </sheetView>
  </sheetViews>
  <sheetFormatPr defaultRowHeight="15" x14ac:dyDescent="0.25"/>
  <cols>
    <col min="1" max="1" width="1.85546875" customWidth="1"/>
    <col min="2" max="2" width="1.7109375" customWidth="1"/>
    <col min="8" max="8" width="11.5703125" customWidth="1"/>
    <col min="9" max="9" width="3.5703125" customWidth="1"/>
    <col min="10" max="10" width="12.7109375" customWidth="1"/>
    <col min="11" max="11" width="2.85546875" customWidth="1"/>
    <col min="12" max="12" width="2.140625" customWidth="1"/>
    <col min="13" max="13" width="14.85546875" customWidth="1"/>
    <col min="14" max="14" width="11.28515625" customWidth="1"/>
    <col min="15" max="15" width="12.28515625" customWidth="1"/>
    <col min="16" max="16" width="11.28515625" customWidth="1"/>
    <col min="17" max="17" width="9.28515625" customWidth="1"/>
    <col min="18" max="18" width="6.5703125" customWidth="1"/>
    <col min="19" max="19" width="10.28515625" customWidth="1"/>
    <col min="20" max="20" width="11.5703125" customWidth="1"/>
    <col min="21" max="21" width="12.140625" customWidth="1"/>
    <col min="22" max="23" width="11.28515625" customWidth="1"/>
    <col min="25" max="25" width="2" customWidth="1"/>
  </cols>
  <sheetData>
    <row r="1" spans="1:48" ht="9" customHeight="1" thickBot="1" x14ac:dyDescent="0.3">
      <c r="A1" s="37"/>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row>
    <row r="2" spans="1:48" ht="8.25" customHeight="1" thickBot="1" x14ac:dyDescent="0.3">
      <c r="A2" s="37"/>
      <c r="B2" s="12"/>
      <c r="C2" s="13"/>
      <c r="D2" s="13"/>
      <c r="E2" s="13"/>
      <c r="F2" s="13"/>
      <c r="G2" s="13"/>
      <c r="H2" s="13"/>
      <c r="I2" s="13"/>
      <c r="J2" s="13"/>
      <c r="K2" s="13"/>
      <c r="L2" s="13"/>
      <c r="M2" s="13"/>
      <c r="N2" s="13"/>
      <c r="O2" s="13"/>
      <c r="P2" s="13"/>
      <c r="Q2" s="13"/>
      <c r="R2" s="13"/>
      <c r="S2" s="13"/>
      <c r="T2" s="13"/>
      <c r="U2" s="13"/>
      <c r="V2" s="13"/>
      <c r="W2" s="13"/>
      <c r="X2" s="13"/>
      <c r="Y2" s="14"/>
      <c r="Z2" s="37"/>
      <c r="AA2" s="37"/>
      <c r="AB2" s="37"/>
      <c r="AC2" s="37"/>
      <c r="AD2" s="37"/>
      <c r="AE2" s="37"/>
      <c r="AF2" s="37"/>
      <c r="AG2" s="37"/>
      <c r="AH2" s="37"/>
      <c r="AI2" s="37"/>
      <c r="AJ2" s="37"/>
      <c r="AK2" s="37"/>
      <c r="AL2" s="37"/>
      <c r="AM2" s="37"/>
      <c r="AN2" s="37"/>
      <c r="AO2" s="37"/>
      <c r="AP2" s="37"/>
      <c r="AQ2" s="37"/>
      <c r="AR2" s="37"/>
      <c r="AS2" s="37"/>
      <c r="AT2" s="37"/>
      <c r="AU2" s="37"/>
    </row>
    <row r="3" spans="1:48" ht="30.75" customHeight="1" thickBot="1" x14ac:dyDescent="0.5">
      <c r="A3" s="37"/>
      <c r="B3" s="15"/>
      <c r="C3" s="54" t="str">
        <f>"Consumo de Energia "&amp;Data!F1</f>
        <v>Consumo de Energia Hector M Lorenzo</v>
      </c>
      <c r="D3" s="55"/>
      <c r="E3" s="55"/>
      <c r="F3" s="55"/>
      <c r="G3" s="55"/>
      <c r="H3" s="55"/>
      <c r="I3" s="55"/>
      <c r="J3" s="55"/>
      <c r="K3" s="55"/>
      <c r="L3" s="55"/>
      <c r="M3" s="55"/>
      <c r="N3" s="55"/>
      <c r="O3" s="55"/>
      <c r="P3" s="55"/>
      <c r="Q3" s="55"/>
      <c r="R3" s="55"/>
      <c r="S3" s="55"/>
      <c r="T3" s="55"/>
      <c r="U3" s="55"/>
      <c r="V3" s="55"/>
      <c r="W3" s="55"/>
      <c r="X3" s="56"/>
      <c r="Y3" s="16"/>
      <c r="Z3" s="37"/>
      <c r="AA3" s="37"/>
      <c r="AB3" s="37"/>
      <c r="AC3" s="37"/>
      <c r="AD3" s="37"/>
      <c r="AE3" s="37"/>
      <c r="AF3" s="37"/>
      <c r="AG3" s="37"/>
      <c r="AH3" s="37"/>
      <c r="AI3" s="37"/>
      <c r="AJ3" s="37"/>
      <c r="AK3" s="37"/>
      <c r="AL3" s="37"/>
      <c r="AM3" s="37"/>
      <c r="AN3" s="37"/>
      <c r="AO3" s="37"/>
      <c r="AP3" s="37"/>
      <c r="AQ3" s="37"/>
      <c r="AR3" s="37"/>
      <c r="AS3" s="37"/>
      <c r="AT3" s="37"/>
      <c r="AU3" s="37"/>
    </row>
    <row r="4" spans="1:48" ht="10.5" customHeight="1" thickBot="1" x14ac:dyDescent="0.3">
      <c r="A4" s="37"/>
      <c r="B4" s="15"/>
      <c r="Q4" s="9"/>
      <c r="W4" s="9"/>
      <c r="Y4" s="16"/>
      <c r="Z4" s="37"/>
      <c r="AA4" s="37"/>
      <c r="AB4" s="37"/>
      <c r="AC4" s="37"/>
      <c r="AD4" s="37"/>
      <c r="AE4" s="37"/>
      <c r="AF4" s="37"/>
      <c r="AG4" s="37"/>
      <c r="AH4" s="37"/>
      <c r="AI4" s="37"/>
      <c r="AJ4" s="37"/>
      <c r="AK4" s="37"/>
      <c r="AL4" s="37"/>
      <c r="AM4" s="37"/>
      <c r="AN4" s="37"/>
      <c r="AO4" s="37"/>
      <c r="AP4" s="37"/>
      <c r="AQ4" s="37"/>
      <c r="AR4" s="37"/>
      <c r="AS4" s="37"/>
      <c r="AT4" s="37"/>
      <c r="AU4" s="37"/>
    </row>
    <row r="5" spans="1:48" ht="10.5" customHeight="1" thickBot="1" x14ac:dyDescent="0.3">
      <c r="A5" s="37"/>
      <c r="B5" s="15"/>
      <c r="L5" s="12"/>
      <c r="M5" s="13"/>
      <c r="N5" s="13"/>
      <c r="O5" s="13"/>
      <c r="P5" s="13"/>
      <c r="Q5" s="42" t="str" cm="1">
        <f t="array" ref="Q5">CostPerKwh[Precio Promedio Kwh]&amp;"Kwh"</f>
        <v>0.31Kwh</v>
      </c>
      <c r="R5" s="13"/>
      <c r="S5" s="13"/>
      <c r="T5" s="13"/>
      <c r="U5" s="13"/>
      <c r="V5" s="13"/>
      <c r="W5" s="42" t="str" cm="1">
        <f t="array" ref="W5">CostPerKwh[Precio Promedio Kwh]&amp;"Kwh"</f>
        <v>0.31Kwh</v>
      </c>
      <c r="X5" s="14"/>
      <c r="Y5" s="16"/>
      <c r="Z5" s="37"/>
      <c r="AA5" s="37"/>
      <c r="AB5" s="37"/>
      <c r="AC5" s="37"/>
      <c r="AD5" s="37"/>
      <c r="AE5" s="37"/>
      <c r="AF5" s="37"/>
      <c r="AG5" s="37"/>
      <c r="AH5" s="37"/>
      <c r="AI5" s="37"/>
      <c r="AJ5" s="37"/>
      <c r="AK5" s="37"/>
      <c r="AL5" s="37"/>
      <c r="AM5" s="37"/>
      <c r="AN5" s="37"/>
      <c r="AO5" s="37"/>
      <c r="AP5" s="37"/>
      <c r="AQ5" s="37"/>
      <c r="AR5" s="37"/>
      <c r="AS5" s="37"/>
      <c r="AT5" s="37"/>
      <c r="AU5" s="37"/>
    </row>
    <row r="6" spans="1:48" ht="15.75" thickBot="1" x14ac:dyDescent="0.3">
      <c r="A6" s="37"/>
      <c r="B6" s="15"/>
      <c r="L6" s="15"/>
      <c r="M6" s="26" t="s">
        <v>12</v>
      </c>
      <c r="N6" s="8" t="s">
        <v>13</v>
      </c>
      <c r="O6" s="10" t="s">
        <v>14</v>
      </c>
      <c r="P6" s="13" t="s">
        <v>1</v>
      </c>
      <c r="Q6" s="40" t="s">
        <v>30</v>
      </c>
      <c r="S6" s="26" t="s">
        <v>8</v>
      </c>
      <c r="T6" s="8" t="s">
        <v>13</v>
      </c>
      <c r="U6" s="10" t="s">
        <v>14</v>
      </c>
      <c r="V6" s="13" t="s">
        <v>1</v>
      </c>
      <c r="W6" s="41" t="s">
        <v>30</v>
      </c>
      <c r="X6" s="16"/>
      <c r="Y6" s="16"/>
      <c r="Z6" s="37"/>
      <c r="AA6" s="37"/>
      <c r="AB6" s="37"/>
      <c r="AC6" s="37"/>
      <c r="AD6" s="37"/>
      <c r="AE6" s="37"/>
      <c r="AF6" s="37"/>
      <c r="AG6" s="37"/>
      <c r="AH6" s="37"/>
      <c r="AI6" s="37"/>
      <c r="AJ6" s="37"/>
      <c r="AK6" s="37"/>
      <c r="AL6" s="37"/>
      <c r="AM6" s="37"/>
      <c r="AN6" s="37"/>
      <c r="AO6" s="37"/>
      <c r="AP6" s="37"/>
      <c r="AQ6" s="37"/>
      <c r="AR6" s="37"/>
      <c r="AS6" s="37"/>
      <c r="AT6" s="37"/>
      <c r="AU6" s="37"/>
    </row>
    <row r="7" spans="1:48" ht="12" customHeight="1" thickBot="1" x14ac:dyDescent="0.3">
      <c r="A7" s="37"/>
      <c r="B7" s="15"/>
      <c r="L7" s="15"/>
      <c r="M7" s="46" t="s">
        <v>33</v>
      </c>
      <c r="N7" s="22">
        <v>636.1</v>
      </c>
      <c r="O7" s="23">
        <v>453.69999999999993</v>
      </c>
      <c r="P7" s="23">
        <v>182.39999999999995</v>
      </c>
      <c r="Q7" s="43">
        <v>56.543999999999997</v>
      </c>
      <c r="S7" s="27">
        <v>1</v>
      </c>
      <c r="T7" s="22">
        <v>636.1</v>
      </c>
      <c r="U7" s="23">
        <v>453.69999999999993</v>
      </c>
      <c r="V7" s="23">
        <v>182.39999999999995</v>
      </c>
      <c r="W7" s="24">
        <v>56.543999999999997</v>
      </c>
      <c r="X7" s="16"/>
      <c r="Y7" s="16"/>
      <c r="Z7" s="37"/>
      <c r="AA7" s="37"/>
      <c r="AB7" s="37"/>
      <c r="AC7" s="37"/>
      <c r="AD7" s="37"/>
      <c r="AE7" s="37"/>
      <c r="AF7" s="37"/>
      <c r="AG7" s="37"/>
      <c r="AH7" s="37"/>
      <c r="AI7" s="37"/>
      <c r="AJ7" s="37"/>
      <c r="AK7" s="37"/>
      <c r="AL7" s="37"/>
      <c r="AM7" s="37"/>
      <c r="AN7" s="37"/>
      <c r="AO7" s="37"/>
      <c r="AP7" s="37"/>
      <c r="AQ7" s="37"/>
      <c r="AR7" s="37"/>
      <c r="AS7" s="37"/>
      <c r="AT7" s="37"/>
      <c r="AU7" s="37"/>
    </row>
    <row r="8" spans="1:48" ht="12" customHeight="1" thickBot="1" x14ac:dyDescent="0.3">
      <c r="A8" s="37"/>
      <c r="B8" s="15"/>
      <c r="L8" s="15"/>
      <c r="M8" s="47" t="s">
        <v>34</v>
      </c>
      <c r="N8" s="45"/>
      <c r="O8" s="64"/>
      <c r="P8" s="64">
        <v>0</v>
      </c>
      <c r="Q8" s="48">
        <v>0</v>
      </c>
      <c r="S8" s="27" t="s">
        <v>9</v>
      </c>
      <c r="T8" s="25">
        <v>636.1</v>
      </c>
      <c r="U8" s="20">
        <v>453.69999999999993</v>
      </c>
      <c r="V8" s="20">
        <v>182.39999999999995</v>
      </c>
      <c r="W8" s="21">
        <v>56.543999999999997</v>
      </c>
      <c r="X8" s="16"/>
      <c r="Y8" s="16"/>
      <c r="Z8" s="37"/>
      <c r="AA8" s="37"/>
      <c r="AB8" s="37"/>
      <c r="AC8" s="37"/>
      <c r="AD8" s="37"/>
      <c r="AE8" s="37"/>
      <c r="AF8" s="37"/>
      <c r="AG8" s="37"/>
      <c r="AH8" s="37"/>
      <c r="AI8" s="37"/>
      <c r="AJ8" s="37"/>
      <c r="AK8" s="37"/>
      <c r="AL8" s="37"/>
      <c r="AM8" s="37"/>
      <c r="AN8" s="37"/>
      <c r="AO8" s="37"/>
      <c r="AP8" s="37"/>
      <c r="AQ8" s="37"/>
      <c r="AR8" s="37"/>
      <c r="AS8" s="37"/>
      <c r="AT8" s="37"/>
      <c r="AU8" s="37"/>
    </row>
    <row r="9" spans="1:48" ht="12" customHeight="1" thickBot="1" x14ac:dyDescent="0.3">
      <c r="A9" s="37"/>
      <c r="B9" s="15"/>
      <c r="L9" s="15"/>
      <c r="M9" s="27" t="s">
        <v>9</v>
      </c>
      <c r="N9" s="25">
        <v>636.1</v>
      </c>
      <c r="O9" s="20">
        <v>453.69999999999993</v>
      </c>
      <c r="P9" s="20">
        <v>182.39999999999995</v>
      </c>
      <c r="Q9" s="44">
        <v>56.543999999999997</v>
      </c>
      <c r="X9" s="16"/>
      <c r="Y9" s="16"/>
      <c r="Z9" s="37"/>
      <c r="AA9" s="37"/>
      <c r="AB9" s="37"/>
      <c r="AC9" s="37"/>
      <c r="AD9" s="37"/>
      <c r="AE9" s="37"/>
      <c r="AF9" s="37"/>
      <c r="AG9" s="37"/>
      <c r="AH9" s="37"/>
      <c r="AI9" s="37"/>
      <c r="AJ9" s="37"/>
      <c r="AK9" s="37"/>
      <c r="AL9" s="37"/>
      <c r="AM9" s="37"/>
      <c r="AN9" s="37"/>
      <c r="AO9" s="37"/>
      <c r="AP9" s="37"/>
      <c r="AQ9" s="37"/>
      <c r="AR9" s="37"/>
      <c r="AS9" s="37"/>
      <c r="AT9" s="37"/>
      <c r="AU9" s="37"/>
    </row>
    <row r="10" spans="1:48" ht="12" customHeight="1" x14ac:dyDescent="0.25">
      <c r="A10" s="37"/>
      <c r="B10" s="15"/>
      <c r="L10" s="15"/>
      <c r="X10" s="16"/>
      <c r="Y10" s="16"/>
      <c r="Z10" s="37"/>
      <c r="AA10" s="37"/>
      <c r="AB10" s="37"/>
      <c r="AC10" s="37"/>
      <c r="AD10" s="37"/>
      <c r="AE10" s="37"/>
      <c r="AF10" s="37"/>
      <c r="AG10" s="37"/>
      <c r="AH10" s="37"/>
      <c r="AI10" s="37"/>
      <c r="AJ10" s="37"/>
      <c r="AK10" s="37"/>
      <c r="AL10" s="37"/>
      <c r="AM10" s="37"/>
      <c r="AN10" s="37"/>
      <c r="AO10" s="37"/>
      <c r="AP10" s="37"/>
      <c r="AQ10" s="37"/>
      <c r="AR10" s="37"/>
      <c r="AS10" s="37"/>
      <c r="AT10" s="37"/>
      <c r="AU10" s="37"/>
    </row>
    <row r="11" spans="1:48" ht="12" customHeight="1" x14ac:dyDescent="0.25">
      <c r="A11" s="37"/>
      <c r="B11" s="15"/>
      <c r="L11" s="15"/>
      <c r="X11" s="16"/>
      <c r="Y11" s="16"/>
      <c r="Z11" s="37"/>
      <c r="AA11" s="37"/>
      <c r="AB11" s="37"/>
      <c r="AC11" s="37"/>
      <c r="AD11" s="37"/>
      <c r="AE11" s="37"/>
      <c r="AF11" s="37"/>
      <c r="AG11" s="37"/>
      <c r="AH11" s="37"/>
      <c r="AI11" s="37"/>
      <c r="AJ11" s="37"/>
      <c r="AK11" s="37"/>
      <c r="AL11" s="37"/>
      <c r="AM11" s="37"/>
      <c r="AN11" s="37"/>
      <c r="AO11" s="37"/>
      <c r="AP11" s="37"/>
      <c r="AQ11" s="37"/>
      <c r="AR11" s="37"/>
      <c r="AS11" s="37"/>
      <c r="AT11" s="37"/>
      <c r="AU11" s="37"/>
    </row>
    <row r="12" spans="1:48" ht="12" customHeight="1" x14ac:dyDescent="0.25">
      <c r="A12" s="37"/>
      <c r="B12" s="15"/>
      <c r="L12" s="15"/>
      <c r="X12" s="16"/>
      <c r="Y12" s="16"/>
      <c r="Z12" s="37"/>
      <c r="AA12" s="37"/>
      <c r="AB12" s="37"/>
      <c r="AC12" s="37"/>
      <c r="AD12" s="37"/>
      <c r="AE12" s="37"/>
      <c r="AF12" s="37"/>
      <c r="AG12" s="37"/>
      <c r="AH12" s="37"/>
      <c r="AI12" s="37"/>
      <c r="AJ12" s="37"/>
      <c r="AK12" s="37"/>
      <c r="AL12" s="37"/>
      <c r="AM12" s="37"/>
      <c r="AN12" s="37"/>
      <c r="AO12" s="37"/>
      <c r="AP12" s="37"/>
      <c r="AQ12" s="37"/>
      <c r="AR12" s="37"/>
      <c r="AS12" s="37"/>
      <c r="AT12" s="37"/>
      <c r="AU12" s="37"/>
    </row>
    <row r="13" spans="1:48" ht="12" customHeight="1" x14ac:dyDescent="0.25">
      <c r="A13" s="37"/>
      <c r="B13" s="15"/>
      <c r="L13" s="15"/>
      <c r="X13" s="16"/>
      <c r="Y13" s="16"/>
      <c r="Z13" s="37"/>
      <c r="AA13" s="37"/>
      <c r="AB13" s="37"/>
      <c r="AC13" s="37"/>
      <c r="AD13" s="37"/>
      <c r="AE13" s="37"/>
      <c r="AF13" s="37"/>
      <c r="AG13" s="37"/>
      <c r="AH13" s="37"/>
      <c r="AI13" s="37"/>
      <c r="AJ13" s="37"/>
      <c r="AK13" s="37"/>
      <c r="AL13" s="37"/>
      <c r="AM13" s="37"/>
      <c r="AN13" s="37"/>
      <c r="AO13" s="37"/>
      <c r="AP13" s="37"/>
      <c r="AQ13" s="37"/>
      <c r="AR13" s="37"/>
      <c r="AS13" s="37"/>
      <c r="AT13" s="37"/>
      <c r="AU13" s="37"/>
    </row>
    <row r="14" spans="1:48" ht="12" customHeight="1" x14ac:dyDescent="0.25">
      <c r="A14" s="37"/>
      <c r="B14" s="15"/>
      <c r="L14" s="15"/>
      <c r="X14" s="16"/>
      <c r="Y14" s="16"/>
      <c r="Z14" s="37"/>
      <c r="AA14" s="37"/>
      <c r="AB14" s="37"/>
      <c r="AC14" s="37"/>
      <c r="AD14" s="37"/>
      <c r="AE14" s="37"/>
      <c r="AF14" s="37"/>
      <c r="AG14" s="37"/>
      <c r="AH14" s="37"/>
      <c r="AI14" s="37"/>
      <c r="AJ14" s="37"/>
      <c r="AK14" s="37"/>
      <c r="AL14" s="37"/>
      <c r="AM14" s="37"/>
      <c r="AN14" s="37"/>
      <c r="AO14" s="37"/>
      <c r="AP14" s="37"/>
      <c r="AQ14" s="37"/>
      <c r="AR14" s="37"/>
      <c r="AS14" s="37"/>
      <c r="AT14" s="37"/>
      <c r="AU14" s="37"/>
    </row>
    <row r="15" spans="1:48" ht="12" customHeight="1" x14ac:dyDescent="0.25">
      <c r="A15" s="37"/>
      <c r="B15" s="15"/>
      <c r="L15" s="15"/>
      <c r="X15" s="16"/>
      <c r="Y15" s="16"/>
      <c r="Z15" s="37"/>
      <c r="AA15" s="37"/>
      <c r="AB15" s="37"/>
      <c r="AC15" s="37"/>
      <c r="AD15" s="37"/>
      <c r="AE15" s="37"/>
      <c r="AF15" s="37"/>
      <c r="AG15" s="37"/>
      <c r="AH15" s="37"/>
      <c r="AI15" s="37"/>
      <c r="AJ15" s="37"/>
      <c r="AK15" s="37"/>
      <c r="AL15" s="37"/>
      <c r="AM15" s="37"/>
      <c r="AN15" s="37"/>
      <c r="AO15" s="37"/>
      <c r="AP15" s="37"/>
      <c r="AQ15" s="37"/>
      <c r="AR15" s="37"/>
      <c r="AS15" s="37"/>
      <c r="AT15" s="37"/>
      <c r="AU15" s="37"/>
    </row>
    <row r="16" spans="1:48" ht="12" customHeight="1" x14ac:dyDescent="0.25">
      <c r="A16" s="37"/>
      <c r="B16" s="15"/>
      <c r="L16" s="15"/>
      <c r="X16" s="16"/>
      <c r="Y16" s="16"/>
      <c r="Z16" s="37"/>
      <c r="AA16" s="37"/>
      <c r="AB16" s="37"/>
      <c r="AC16" s="37"/>
      <c r="AD16" s="37"/>
      <c r="AE16" s="37"/>
      <c r="AF16" s="37"/>
      <c r="AG16" s="37"/>
      <c r="AH16" s="37"/>
      <c r="AI16" s="37"/>
      <c r="AJ16" s="37"/>
      <c r="AK16" s="37"/>
      <c r="AL16" s="37"/>
      <c r="AM16" s="37"/>
      <c r="AN16" s="37"/>
      <c r="AO16" s="37"/>
      <c r="AP16" s="37"/>
      <c r="AQ16" s="37"/>
      <c r="AR16" s="37"/>
      <c r="AS16" s="37"/>
      <c r="AT16" s="37"/>
      <c r="AU16" s="37"/>
    </row>
    <row r="17" spans="1:47" ht="12" customHeight="1" x14ac:dyDescent="0.25">
      <c r="A17" s="37"/>
      <c r="B17" s="15"/>
      <c r="L17" s="15"/>
      <c r="X17" s="16"/>
      <c r="Y17" s="16"/>
      <c r="Z17" s="37"/>
      <c r="AA17" s="37"/>
      <c r="AB17" s="37"/>
      <c r="AC17" s="37"/>
      <c r="AD17" s="37"/>
      <c r="AE17" s="37"/>
      <c r="AF17" s="37"/>
      <c r="AG17" s="37"/>
      <c r="AH17" s="37"/>
      <c r="AI17" s="37"/>
      <c r="AJ17" s="37"/>
      <c r="AK17" s="37"/>
      <c r="AL17" s="37"/>
      <c r="AM17" s="37"/>
      <c r="AN17" s="37"/>
      <c r="AO17" s="37"/>
      <c r="AP17" s="37"/>
      <c r="AQ17" s="37"/>
      <c r="AR17" s="37"/>
      <c r="AS17" s="37"/>
      <c r="AT17" s="37"/>
      <c r="AU17" s="37"/>
    </row>
    <row r="18" spans="1:47" ht="15.75" thickBot="1" x14ac:dyDescent="0.3">
      <c r="A18" s="37"/>
      <c r="B18" s="15"/>
      <c r="L18" s="15"/>
      <c r="X18" s="16"/>
      <c r="Y18" s="16"/>
      <c r="Z18" s="37"/>
      <c r="AA18" s="37"/>
      <c r="AB18" s="37"/>
      <c r="AC18" s="37"/>
      <c r="AD18" s="37"/>
      <c r="AE18" s="37"/>
      <c r="AF18" s="37"/>
      <c r="AG18" s="37"/>
      <c r="AH18" s="37"/>
      <c r="AI18" s="37"/>
      <c r="AJ18" s="37"/>
      <c r="AK18" s="37"/>
      <c r="AL18" s="37"/>
      <c r="AM18" s="37"/>
      <c r="AN18" s="37"/>
      <c r="AO18" s="37"/>
      <c r="AP18" s="37"/>
      <c r="AQ18" s="37"/>
      <c r="AR18" s="37"/>
      <c r="AS18" s="37"/>
      <c r="AT18" s="37"/>
      <c r="AU18" s="37"/>
    </row>
    <row r="19" spans="1:47" ht="15.75" thickBot="1" x14ac:dyDescent="0.3">
      <c r="A19" s="37"/>
      <c r="B19" s="15"/>
      <c r="L19" s="15"/>
      <c r="X19" s="16"/>
      <c r="Y19" s="16"/>
      <c r="Z19" s="37"/>
      <c r="AA19" s="37"/>
      <c r="AB19" s="37"/>
      <c r="AC19" s="37"/>
      <c r="AD19" s="37"/>
      <c r="AE19" s="37"/>
      <c r="AF19" s="37"/>
      <c r="AG19" s="37"/>
      <c r="AH19" s="37"/>
      <c r="AI19" s="37"/>
      <c r="AJ19" s="37"/>
      <c r="AK19" s="37"/>
      <c r="AL19" s="37"/>
      <c r="AM19" s="37"/>
      <c r="AN19" s="37"/>
      <c r="AO19" s="37"/>
      <c r="AP19" s="37"/>
      <c r="AQ19" s="37"/>
      <c r="AR19" s="37"/>
      <c r="AS19" s="37"/>
      <c r="AT19" s="37"/>
      <c r="AU19" s="37"/>
    </row>
    <row r="20" spans="1:47" ht="15.75" thickBot="1" x14ac:dyDescent="0.3">
      <c r="A20" s="37"/>
      <c r="B20" s="15"/>
      <c r="L20" s="15"/>
      <c r="X20" s="16"/>
      <c r="Y20" s="16"/>
      <c r="Z20" s="37"/>
      <c r="AA20" s="37"/>
      <c r="AB20" s="37"/>
      <c r="AC20" s="37"/>
      <c r="AD20" s="37"/>
      <c r="AE20" s="37"/>
      <c r="AF20" s="37"/>
      <c r="AG20" s="37"/>
      <c r="AH20" s="37"/>
      <c r="AI20" s="37"/>
      <c r="AJ20" s="37"/>
      <c r="AK20" s="37"/>
      <c r="AL20" s="37"/>
      <c r="AM20" s="37"/>
      <c r="AN20" s="37"/>
      <c r="AO20" s="37"/>
      <c r="AP20" s="37"/>
      <c r="AQ20" s="37"/>
      <c r="AR20" s="37"/>
      <c r="AS20" s="37"/>
      <c r="AT20" s="37"/>
      <c r="AU20" s="37"/>
    </row>
    <row r="21" spans="1:47" ht="15.75" thickBot="1" x14ac:dyDescent="0.3">
      <c r="A21" s="37"/>
      <c r="B21" s="15"/>
      <c r="L21" s="17"/>
      <c r="M21" s="18"/>
      <c r="N21" s="18"/>
      <c r="O21" s="18"/>
      <c r="P21" s="18"/>
      <c r="Q21" s="18"/>
      <c r="R21" s="18"/>
      <c r="X21" s="19"/>
      <c r="Y21" s="16"/>
      <c r="Z21" s="37"/>
      <c r="AA21" s="37"/>
      <c r="AB21" s="37"/>
      <c r="AC21" s="37"/>
      <c r="AD21" s="37"/>
      <c r="AE21" s="37"/>
      <c r="AF21" s="37"/>
      <c r="AG21" s="37"/>
      <c r="AH21" s="37"/>
      <c r="AI21" s="37"/>
      <c r="AJ21" s="37"/>
      <c r="AK21" s="37"/>
      <c r="AL21" s="37"/>
      <c r="AM21" s="37"/>
      <c r="AN21" s="37"/>
      <c r="AO21" s="37"/>
      <c r="AP21" s="37"/>
      <c r="AQ21" s="37"/>
      <c r="AR21" s="37"/>
      <c r="AS21" s="37"/>
      <c r="AT21" s="37"/>
      <c r="AU21" s="37"/>
    </row>
    <row r="22" spans="1:47" ht="15.75" thickBot="1" x14ac:dyDescent="0.3">
      <c r="A22" s="37"/>
      <c r="B22" s="15"/>
      <c r="Y22" s="16"/>
      <c r="Z22" s="37"/>
      <c r="AA22" s="37"/>
      <c r="AB22" s="37"/>
      <c r="AC22" s="37"/>
      <c r="AD22" s="37"/>
      <c r="AE22" s="37"/>
      <c r="AF22" s="37"/>
      <c r="AG22" s="37"/>
      <c r="AH22" s="37"/>
      <c r="AI22" s="37"/>
      <c r="AJ22" s="37"/>
      <c r="AK22" s="37"/>
      <c r="AL22" s="37"/>
      <c r="AM22" s="37"/>
      <c r="AN22" s="37"/>
      <c r="AO22" s="37"/>
      <c r="AP22" s="37"/>
      <c r="AQ22" s="37"/>
      <c r="AR22" s="37"/>
      <c r="AS22" s="37"/>
      <c r="AT22" s="37"/>
      <c r="AU22" s="37"/>
    </row>
    <row r="23" spans="1:47" ht="15.75" thickBot="1" x14ac:dyDescent="0.3">
      <c r="A23" s="37"/>
      <c r="B23" s="15"/>
      <c r="H23" s="60" t="str">
        <f>PivotDataChat!Q3&amp;" Dias "</f>
        <v xml:space="preserve">18 Dias </v>
      </c>
      <c r="I23" s="61"/>
      <c r="J23" s="62"/>
      <c r="Y23" s="16"/>
      <c r="Z23" s="37"/>
      <c r="AA23" s="37"/>
      <c r="AB23" s="37"/>
      <c r="AC23" s="37"/>
      <c r="AD23" s="37"/>
      <c r="AE23" s="37"/>
      <c r="AF23" s="37"/>
      <c r="AG23" s="37"/>
      <c r="AH23" s="37"/>
      <c r="AI23" s="37"/>
      <c r="AJ23" s="37"/>
      <c r="AK23" s="37"/>
      <c r="AL23" s="37"/>
      <c r="AM23" s="37"/>
      <c r="AN23" s="37"/>
      <c r="AO23" s="37"/>
      <c r="AP23" s="37"/>
      <c r="AQ23" s="37"/>
      <c r="AR23" s="37"/>
      <c r="AS23" s="37"/>
      <c r="AT23" s="37"/>
      <c r="AU23" s="37"/>
    </row>
    <row r="24" spans="1:47" ht="15" customHeight="1" x14ac:dyDescent="0.25">
      <c r="A24" s="37"/>
      <c r="B24" s="15"/>
      <c r="H24" s="57" t="str">
        <f>"Promedio Producido "&amp;TEXT(PivotDataChat!M3,"0.00")</f>
        <v>Promedio Producido 35.34</v>
      </c>
      <c r="J24" s="52" t="str">
        <f>"Promedio Consumido "&amp;TEXT(PivotDataChat!N3,"0.00")</f>
        <v>Promedio Consumido 25.21</v>
      </c>
      <c r="Y24" s="16"/>
      <c r="Z24" s="37"/>
      <c r="AA24" s="37"/>
      <c r="AB24" s="37"/>
      <c r="AC24" s="37"/>
      <c r="AD24" s="37"/>
      <c r="AE24" s="37"/>
      <c r="AF24" s="37"/>
      <c r="AG24" s="37"/>
      <c r="AH24" s="37"/>
      <c r="AI24" s="37"/>
      <c r="AJ24" s="37"/>
      <c r="AK24" s="37"/>
      <c r="AL24" s="37"/>
      <c r="AM24" s="37"/>
      <c r="AN24" s="37"/>
      <c r="AO24" s="37"/>
      <c r="AP24" s="37"/>
      <c r="AQ24" s="37"/>
      <c r="AR24" s="37"/>
      <c r="AS24" s="37"/>
      <c r="AT24" s="37"/>
      <c r="AU24" s="37"/>
    </row>
    <row r="25" spans="1:47" x14ac:dyDescent="0.25">
      <c r="A25" s="37"/>
      <c r="B25" s="15"/>
      <c r="H25" s="57"/>
      <c r="J25" s="52"/>
      <c r="Y25" s="16"/>
      <c r="Z25" s="37"/>
      <c r="AA25" s="37"/>
      <c r="AB25" s="37"/>
      <c r="AC25" s="37"/>
      <c r="AD25" s="37"/>
      <c r="AE25" s="37"/>
      <c r="AF25" s="37"/>
      <c r="AG25" s="37"/>
      <c r="AH25" s="37"/>
      <c r="AI25" s="37"/>
      <c r="AJ25" s="37"/>
      <c r="AK25" s="37"/>
      <c r="AL25" s="37"/>
      <c r="AM25" s="37"/>
      <c r="AN25" s="37"/>
      <c r="AO25" s="37"/>
      <c r="AP25" s="37"/>
      <c r="AQ25" s="37"/>
      <c r="AR25" s="37"/>
      <c r="AS25" s="37"/>
      <c r="AT25" s="37"/>
      <c r="AU25" s="37"/>
    </row>
    <row r="26" spans="1:47" ht="15.75" thickBot="1" x14ac:dyDescent="0.3">
      <c r="A26" s="37"/>
      <c r="B26" s="15"/>
      <c r="H26" s="58"/>
      <c r="J26" s="53"/>
      <c r="Y26" s="16"/>
      <c r="Z26" s="37"/>
      <c r="AA26" s="37"/>
      <c r="AB26" s="37"/>
      <c r="AC26" s="37"/>
      <c r="AD26" s="37"/>
      <c r="AE26" s="37"/>
      <c r="AF26" s="37"/>
      <c r="AG26" s="37"/>
      <c r="AH26" s="37"/>
      <c r="AI26" s="37"/>
      <c r="AJ26" s="37"/>
      <c r="AK26" s="37"/>
      <c r="AL26" s="37"/>
      <c r="AM26" s="37"/>
      <c r="AN26" s="37"/>
      <c r="AO26" s="37"/>
      <c r="AP26" s="37"/>
      <c r="AQ26" s="37"/>
      <c r="AR26" s="37"/>
      <c r="AS26" s="37"/>
      <c r="AT26" s="37"/>
      <c r="AU26" s="37"/>
    </row>
    <row r="27" spans="1:47" ht="6.75" customHeight="1" thickBot="1" x14ac:dyDescent="0.3">
      <c r="A27" s="37"/>
      <c r="B27" s="15"/>
      <c r="H27" s="28"/>
      <c r="Y27" s="16"/>
      <c r="Z27" s="37"/>
      <c r="AA27" s="37"/>
      <c r="AB27" s="37"/>
      <c r="AC27" s="37"/>
      <c r="AD27" s="37"/>
      <c r="AE27" s="37"/>
      <c r="AF27" s="37"/>
      <c r="AG27" s="37"/>
      <c r="AH27" s="37"/>
      <c r="AI27" s="37"/>
      <c r="AJ27" s="37"/>
      <c r="AK27" s="37"/>
      <c r="AL27" s="37"/>
      <c r="AM27" s="37"/>
      <c r="AN27" s="37"/>
      <c r="AO27" s="37"/>
      <c r="AP27" s="37"/>
      <c r="AQ27" s="37"/>
      <c r="AR27" s="37"/>
      <c r="AS27" s="37"/>
      <c r="AT27" s="37"/>
      <c r="AU27" s="37"/>
    </row>
    <row r="28" spans="1:47" ht="15" customHeight="1" x14ac:dyDescent="0.25">
      <c r="A28" s="37"/>
      <c r="B28" s="15"/>
      <c r="H28" s="59" t="str">
        <f>"Maximo Producido "&amp;TEXT(PivotDataChat!O3,"0.00")</f>
        <v>Maximo Producido 43.30</v>
      </c>
      <c r="J28" s="51" t="str">
        <f>"Maximo Consumido "&amp;TEXT(PivotDataChat!P3,"0.00")</f>
        <v>Maximo Consumido 37.90</v>
      </c>
      <c r="Y28" s="16"/>
      <c r="Z28" s="37"/>
      <c r="AA28" s="37"/>
      <c r="AB28" s="37"/>
      <c r="AC28" s="37"/>
      <c r="AD28" s="37"/>
      <c r="AE28" s="37"/>
      <c r="AF28" s="37"/>
      <c r="AG28" s="37"/>
      <c r="AH28" s="37"/>
      <c r="AI28" s="37"/>
      <c r="AJ28" s="37"/>
      <c r="AK28" s="37"/>
      <c r="AL28" s="37"/>
      <c r="AM28" s="37"/>
      <c r="AN28" s="37"/>
      <c r="AO28" s="37"/>
      <c r="AP28" s="37"/>
      <c r="AQ28" s="37"/>
      <c r="AR28" s="37"/>
      <c r="AS28" s="37"/>
      <c r="AT28" s="37"/>
      <c r="AU28" s="37"/>
    </row>
    <row r="29" spans="1:47" x14ac:dyDescent="0.25">
      <c r="A29" s="37"/>
      <c r="B29" s="15"/>
      <c r="H29" s="57"/>
      <c r="J29" s="52"/>
      <c r="Y29" s="16"/>
      <c r="Z29" s="37"/>
      <c r="AA29" s="37"/>
      <c r="AB29" s="37"/>
      <c r="AC29" s="37"/>
      <c r="AD29" s="37"/>
      <c r="AE29" s="37"/>
      <c r="AF29" s="37"/>
      <c r="AG29" s="37"/>
      <c r="AH29" s="37"/>
      <c r="AI29" s="37"/>
      <c r="AJ29" s="37"/>
      <c r="AK29" s="37"/>
      <c r="AL29" s="37"/>
      <c r="AM29" s="37"/>
      <c r="AN29" s="37"/>
      <c r="AO29" s="37"/>
      <c r="AP29" s="37"/>
      <c r="AQ29" s="37"/>
      <c r="AR29" s="37"/>
      <c r="AS29" s="37"/>
      <c r="AT29" s="37"/>
      <c r="AU29" s="37"/>
    </row>
    <row r="30" spans="1:47" ht="15.75" thickBot="1" x14ac:dyDescent="0.3">
      <c r="A30" s="37"/>
      <c r="B30" s="15"/>
      <c r="H30" s="58"/>
      <c r="J30" s="53"/>
      <c r="Y30" s="16"/>
      <c r="Z30" s="37"/>
      <c r="AA30" s="37"/>
      <c r="AB30" s="37"/>
      <c r="AC30" s="37"/>
      <c r="AD30" s="37"/>
      <c r="AE30" s="37"/>
      <c r="AF30" s="37"/>
      <c r="AG30" s="37"/>
      <c r="AH30" s="37"/>
      <c r="AI30" s="37"/>
      <c r="AJ30" s="37"/>
      <c r="AK30" s="37"/>
      <c r="AL30" s="37"/>
      <c r="AM30" s="37"/>
      <c r="AN30" s="37"/>
      <c r="AO30" s="37"/>
      <c r="AP30" s="37"/>
      <c r="AQ30" s="37"/>
      <c r="AR30" s="37"/>
      <c r="AS30" s="37"/>
      <c r="AT30" s="37"/>
      <c r="AU30" s="37"/>
    </row>
    <row r="31" spans="1:47" ht="6" customHeight="1" thickBot="1" x14ac:dyDescent="0.3">
      <c r="A31" s="37"/>
      <c r="B31" s="15"/>
      <c r="Y31" s="16"/>
      <c r="Z31" s="37"/>
      <c r="AA31" s="37"/>
      <c r="AB31" s="37"/>
      <c r="AC31" s="37"/>
      <c r="AD31" s="37"/>
      <c r="AE31" s="37"/>
      <c r="AF31" s="37"/>
      <c r="AG31" s="37"/>
      <c r="AH31" s="37"/>
      <c r="AI31" s="37"/>
      <c r="AJ31" s="37"/>
      <c r="AK31" s="37"/>
      <c r="AL31" s="37"/>
      <c r="AM31" s="37"/>
      <c r="AN31" s="37"/>
      <c r="AO31" s="37"/>
      <c r="AP31" s="37"/>
      <c r="AQ31" s="37"/>
      <c r="AR31" s="37"/>
      <c r="AS31" s="37"/>
      <c r="AT31" s="37"/>
      <c r="AU31" s="37"/>
    </row>
    <row r="32" spans="1:47" ht="15.75" thickBot="1" x14ac:dyDescent="0.3">
      <c r="A32" s="37"/>
      <c r="B32" s="15"/>
      <c r="F32" s="36"/>
      <c r="G32" s="32"/>
      <c r="H32" s="34" t="s">
        <v>25</v>
      </c>
      <c r="J32" s="35">
        <f>PivotDataChat!D19-1</f>
        <v>0.40202777165527914</v>
      </c>
      <c r="Y32" s="16"/>
      <c r="Z32" s="37"/>
      <c r="AA32" s="37"/>
      <c r="AB32" s="37"/>
      <c r="AC32" s="37"/>
      <c r="AD32" s="37"/>
      <c r="AE32" s="37"/>
      <c r="AF32" s="37"/>
      <c r="AG32" s="37"/>
      <c r="AH32" s="37"/>
      <c r="AI32" s="37"/>
      <c r="AJ32" s="37"/>
      <c r="AK32" s="37"/>
      <c r="AL32" s="37"/>
      <c r="AM32" s="37"/>
      <c r="AN32" s="37"/>
      <c r="AO32" s="37"/>
      <c r="AP32" s="37"/>
      <c r="AQ32" s="37"/>
      <c r="AR32" s="37"/>
      <c r="AS32" s="37"/>
      <c r="AT32" s="37"/>
      <c r="AU32" s="37"/>
    </row>
    <row r="33" spans="1:47" x14ac:dyDescent="0.25">
      <c r="A33" s="37"/>
      <c r="B33" s="15"/>
      <c r="Y33" s="16"/>
      <c r="Z33" s="37"/>
      <c r="AA33" s="37"/>
      <c r="AB33" s="37"/>
      <c r="AC33" s="37"/>
      <c r="AD33" s="37"/>
      <c r="AE33" s="37"/>
      <c r="AF33" s="37"/>
      <c r="AG33" s="37"/>
      <c r="AH33" s="37"/>
      <c r="AI33" s="37"/>
      <c r="AJ33" s="37"/>
      <c r="AK33" s="37"/>
      <c r="AL33" s="37"/>
      <c r="AM33" s="37"/>
      <c r="AN33" s="37"/>
      <c r="AO33" s="37"/>
      <c r="AP33" s="37"/>
      <c r="AQ33" s="37"/>
      <c r="AR33" s="37"/>
      <c r="AS33" s="37"/>
      <c r="AT33" s="37"/>
      <c r="AU33" s="37"/>
    </row>
    <row r="34" spans="1:47" x14ac:dyDescent="0.25">
      <c r="A34" s="37"/>
      <c r="B34" s="15"/>
      <c r="Y34" s="16"/>
      <c r="Z34" s="37"/>
      <c r="AA34" s="37"/>
      <c r="AB34" s="37"/>
      <c r="AC34" s="37"/>
      <c r="AD34" s="37"/>
      <c r="AE34" s="37"/>
      <c r="AF34" s="37"/>
      <c r="AG34" s="37"/>
      <c r="AH34" s="37"/>
      <c r="AI34" s="37"/>
      <c r="AJ34" s="37"/>
      <c r="AK34" s="37"/>
      <c r="AL34" s="37"/>
      <c r="AM34" s="37"/>
      <c r="AN34" s="37"/>
      <c r="AO34" s="37"/>
      <c r="AP34" s="37"/>
      <c r="AQ34" s="37"/>
      <c r="AR34" s="37"/>
      <c r="AS34" s="37"/>
      <c r="AT34" s="37"/>
      <c r="AU34" s="37"/>
    </row>
    <row r="35" spans="1:47" ht="8.25" customHeight="1" x14ac:dyDescent="0.25">
      <c r="A35" s="37"/>
      <c r="B35" s="15"/>
      <c r="Y35" s="16"/>
      <c r="Z35" s="37"/>
      <c r="AA35" s="37"/>
      <c r="AB35" s="37"/>
      <c r="AC35" s="37"/>
      <c r="AD35" s="37"/>
      <c r="AE35" s="37"/>
      <c r="AF35" s="37"/>
      <c r="AG35" s="37"/>
      <c r="AH35" s="37"/>
      <c r="AI35" s="37"/>
      <c r="AJ35" s="37"/>
      <c r="AK35" s="37"/>
      <c r="AL35" s="37"/>
      <c r="AM35" s="37"/>
      <c r="AN35" s="37"/>
      <c r="AO35" s="37"/>
      <c r="AP35" s="37"/>
      <c r="AQ35" s="37"/>
      <c r="AR35" s="37"/>
      <c r="AS35" s="37"/>
      <c r="AT35" s="37"/>
      <c r="AU35" s="37"/>
    </row>
    <row r="36" spans="1:47" x14ac:dyDescent="0.25">
      <c r="A36" s="37"/>
      <c r="B36" s="15"/>
      <c r="Y36" s="16"/>
      <c r="Z36" s="37"/>
      <c r="AA36" s="37"/>
      <c r="AB36" s="37"/>
      <c r="AC36" s="37"/>
      <c r="AD36" s="37"/>
      <c r="AE36" s="37"/>
      <c r="AF36" s="37"/>
      <c r="AG36" s="37"/>
      <c r="AH36" s="37"/>
      <c r="AI36" s="37"/>
      <c r="AJ36" s="37"/>
      <c r="AK36" s="37"/>
      <c r="AL36" s="37"/>
      <c r="AM36" s="37"/>
      <c r="AN36" s="37"/>
      <c r="AO36" s="37"/>
      <c r="AP36" s="37"/>
      <c r="AQ36" s="37"/>
      <c r="AR36" s="37"/>
      <c r="AS36" s="37"/>
      <c r="AT36" s="37"/>
      <c r="AU36" s="37"/>
    </row>
    <row r="37" spans="1:47" x14ac:dyDescent="0.25">
      <c r="A37" s="37"/>
      <c r="B37" s="15"/>
      <c r="Y37" s="16"/>
      <c r="Z37" s="37"/>
      <c r="AA37" s="37"/>
      <c r="AB37" s="37"/>
      <c r="AC37" s="37"/>
      <c r="AD37" s="37"/>
      <c r="AE37" s="37"/>
      <c r="AF37" s="37"/>
      <c r="AG37" s="37"/>
      <c r="AH37" s="37"/>
      <c r="AI37" s="37"/>
      <c r="AJ37" s="37"/>
      <c r="AK37" s="37"/>
      <c r="AL37" s="37"/>
      <c r="AM37" s="37"/>
      <c r="AN37" s="37"/>
      <c r="AO37" s="37"/>
      <c r="AP37" s="37"/>
      <c r="AQ37" s="37"/>
      <c r="AR37" s="37"/>
      <c r="AS37" s="37"/>
      <c r="AT37" s="37"/>
      <c r="AU37" s="37"/>
    </row>
    <row r="38" spans="1:47" x14ac:dyDescent="0.25">
      <c r="A38" s="37"/>
      <c r="B38" s="15"/>
      <c r="Y38" s="16"/>
      <c r="Z38" s="37"/>
      <c r="AA38" s="37"/>
      <c r="AB38" s="37"/>
      <c r="AC38" s="37"/>
      <c r="AD38" s="37"/>
      <c r="AE38" s="37"/>
      <c r="AF38" s="37"/>
      <c r="AG38" s="37"/>
      <c r="AH38" s="37"/>
      <c r="AI38" s="37"/>
      <c r="AJ38" s="37"/>
      <c r="AK38" s="37"/>
      <c r="AL38" s="37"/>
      <c r="AM38" s="37"/>
      <c r="AN38" s="37"/>
      <c r="AO38" s="37"/>
      <c r="AP38" s="37"/>
      <c r="AQ38" s="37"/>
      <c r="AR38" s="37"/>
      <c r="AS38" s="37"/>
      <c r="AT38" s="37"/>
      <c r="AU38" s="37"/>
    </row>
    <row r="39" spans="1:47" x14ac:dyDescent="0.25">
      <c r="A39" s="37"/>
      <c r="B39" s="15"/>
      <c r="Y39" s="16"/>
      <c r="Z39" s="37"/>
      <c r="AA39" s="37"/>
      <c r="AB39" s="37"/>
      <c r="AC39" s="37"/>
      <c r="AD39" s="37"/>
      <c r="AE39" s="37"/>
      <c r="AF39" s="37"/>
      <c r="AG39" s="37"/>
      <c r="AH39" s="37"/>
      <c r="AI39" s="37"/>
      <c r="AJ39" s="37"/>
      <c r="AK39" s="37"/>
      <c r="AL39" s="37"/>
      <c r="AM39" s="37"/>
      <c r="AN39" s="37"/>
      <c r="AO39" s="37"/>
      <c r="AP39" s="37"/>
      <c r="AQ39" s="37"/>
      <c r="AR39" s="37"/>
      <c r="AS39" s="37"/>
      <c r="AT39" s="37"/>
      <c r="AU39" s="37"/>
    </row>
    <row r="40" spans="1:47" ht="15.75" thickBot="1" x14ac:dyDescent="0.3">
      <c r="A40" s="37"/>
      <c r="B40" s="17"/>
      <c r="C40" s="18"/>
      <c r="D40" s="18"/>
      <c r="E40" s="18"/>
      <c r="F40" s="18"/>
      <c r="G40" s="18"/>
      <c r="H40" s="18"/>
      <c r="I40" s="18"/>
      <c r="J40" s="18"/>
      <c r="K40" s="18"/>
      <c r="L40" s="18"/>
      <c r="M40" s="18"/>
      <c r="N40" s="18"/>
      <c r="O40" s="18"/>
      <c r="P40" s="18"/>
      <c r="Q40" s="18"/>
      <c r="R40" s="18"/>
      <c r="S40" s="18"/>
      <c r="T40" s="18"/>
      <c r="U40" s="18"/>
      <c r="V40" s="18"/>
      <c r="W40" s="18"/>
      <c r="X40" s="18"/>
      <c r="Y40" s="19"/>
      <c r="Z40" s="37"/>
      <c r="AA40" s="37"/>
      <c r="AB40" s="37"/>
      <c r="AC40" s="37"/>
      <c r="AD40" s="37"/>
      <c r="AE40" s="37"/>
      <c r="AF40" s="37"/>
      <c r="AG40" s="37"/>
      <c r="AH40" s="37"/>
      <c r="AI40" s="37"/>
      <c r="AJ40" s="37"/>
      <c r="AK40" s="37"/>
      <c r="AL40" s="37"/>
      <c r="AM40" s="37"/>
      <c r="AN40" s="37"/>
      <c r="AO40" s="37"/>
      <c r="AP40" s="37"/>
      <c r="AQ40" s="37"/>
      <c r="AR40" s="37"/>
      <c r="AS40" s="37"/>
      <c r="AT40" s="37"/>
      <c r="AU40" s="37"/>
    </row>
    <row r="41" spans="1:47"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37"/>
      <c r="AS41" s="37"/>
      <c r="AT41" s="37"/>
      <c r="AU41" s="37"/>
    </row>
    <row r="42" spans="1:47"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row>
    <row r="43" spans="1:47" x14ac:dyDescent="0.25">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37"/>
      <c r="AU43" s="37"/>
    </row>
    <row r="44" spans="1:47"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row>
    <row r="45" spans="1:47"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row>
    <row r="46" spans="1:47"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row>
    <row r="47" spans="1:47"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row>
    <row r="48" spans="1:47"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c r="AN48" s="37"/>
      <c r="AO48" s="37"/>
      <c r="AP48" s="37"/>
      <c r="AQ48" s="37"/>
      <c r="AR48" s="37"/>
      <c r="AS48" s="37"/>
      <c r="AT48" s="37"/>
      <c r="AU48" s="37"/>
    </row>
    <row r="49" spans="1:47"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c r="AN49" s="37"/>
      <c r="AO49" s="37"/>
      <c r="AP49" s="37"/>
      <c r="AQ49" s="37"/>
      <c r="AR49" s="37"/>
      <c r="AS49" s="37"/>
      <c r="AT49" s="37"/>
      <c r="AU49" s="37"/>
    </row>
    <row r="50" spans="1:47"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c r="AN50" s="37"/>
      <c r="AO50" s="37"/>
      <c r="AP50" s="37"/>
      <c r="AQ50" s="37"/>
      <c r="AR50" s="37"/>
      <c r="AS50" s="37"/>
      <c r="AT50" s="37"/>
      <c r="AU50" s="37"/>
    </row>
    <row r="51" spans="1:47"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37"/>
      <c r="AS51" s="37"/>
      <c r="AT51" s="37"/>
      <c r="AU51" s="37"/>
    </row>
    <row r="52" spans="1:47"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row>
    <row r="53" spans="1:47"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c r="AN53" s="37"/>
      <c r="AO53" s="37"/>
      <c r="AP53" s="37"/>
      <c r="AQ53" s="37"/>
      <c r="AR53" s="37"/>
      <c r="AS53" s="37"/>
      <c r="AT53" s="37"/>
      <c r="AU53" s="37"/>
    </row>
    <row r="54" spans="1:47"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row>
    <row r="55" spans="1:47"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37"/>
      <c r="AS55" s="37"/>
      <c r="AT55" s="37"/>
      <c r="AU55" s="37"/>
    </row>
    <row r="56" spans="1:47"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c r="AN56" s="37"/>
      <c r="AO56" s="37"/>
      <c r="AP56" s="37"/>
      <c r="AQ56" s="37"/>
      <c r="AR56" s="37"/>
      <c r="AS56" s="37"/>
      <c r="AT56" s="37"/>
      <c r="AU56" s="37"/>
    </row>
    <row r="57" spans="1:47"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c r="AN57" s="37"/>
      <c r="AO57" s="37"/>
      <c r="AP57" s="37"/>
      <c r="AQ57" s="37"/>
      <c r="AR57" s="37"/>
      <c r="AS57" s="37"/>
      <c r="AT57" s="37"/>
      <c r="AU57" s="37"/>
    </row>
    <row r="58" spans="1:47" x14ac:dyDescent="0.2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37"/>
      <c r="AS58" s="37"/>
      <c r="AT58" s="37"/>
      <c r="AU58" s="37"/>
    </row>
    <row r="59" spans="1:47" x14ac:dyDescent="0.2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c r="AN59" s="37"/>
      <c r="AO59" s="37"/>
      <c r="AP59" s="37"/>
      <c r="AQ59" s="37"/>
      <c r="AR59" s="37"/>
      <c r="AS59" s="37"/>
      <c r="AT59" s="37"/>
      <c r="AU59" s="37"/>
    </row>
    <row r="60" spans="1:47" x14ac:dyDescent="0.2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row>
    <row r="61" spans="1:47" x14ac:dyDescent="0.2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r="62" spans="1:47" x14ac:dyDescent="0.2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r="63" spans="1:47" x14ac:dyDescent="0.2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r="64" spans="1:47" x14ac:dyDescent="0.2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r="65" spans="2:47" x14ac:dyDescent="0.2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r="66" spans="2:47" x14ac:dyDescent="0.2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r="67" spans="2:47" x14ac:dyDescent="0.2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r="68" spans="2:47" x14ac:dyDescent="0.2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r="69" spans="2:47" x14ac:dyDescent="0.2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r="70" spans="2:47" x14ac:dyDescent="0.2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r="71" spans="2:47" x14ac:dyDescent="0.2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r="72" spans="2:47" x14ac:dyDescent="0.2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r="73" spans="2:47" x14ac:dyDescent="0.2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r="74" spans="2:47" x14ac:dyDescent="0.2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r="75" spans="2:47" x14ac:dyDescent="0.2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r="76" spans="2:47" x14ac:dyDescent="0.2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r="77" spans="2:47" x14ac:dyDescent="0.2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37"/>
      <c r="AS77" s="37"/>
      <c r="AT77" s="37"/>
      <c r="AU77" s="37"/>
    </row>
    <row r="78" spans="2:47" x14ac:dyDescent="0.2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row>
    <row r="79" spans="2:47" x14ac:dyDescent="0.2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c r="AN79" s="37"/>
      <c r="AO79" s="37"/>
      <c r="AP79" s="37"/>
      <c r="AQ79" s="37"/>
      <c r="AR79" s="37"/>
      <c r="AS79" s="37"/>
      <c r="AT79" s="37"/>
      <c r="AU79" s="37"/>
    </row>
    <row r="80" spans="2:47" x14ac:dyDescent="0.2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row>
    <row r="81" spans="2:47" x14ac:dyDescent="0.2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row>
    <row r="82" spans="2:47" x14ac:dyDescent="0.2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7"/>
      <c r="AQ82" s="37"/>
      <c r="AR82" s="37"/>
      <c r="AS82" s="37"/>
      <c r="AT82" s="37"/>
      <c r="AU82" s="37"/>
    </row>
    <row r="83" spans="2:47" x14ac:dyDescent="0.2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row>
    <row r="84" spans="2:47" x14ac:dyDescent="0.2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7"/>
      <c r="AJ84" s="37"/>
      <c r="AK84" s="37"/>
      <c r="AL84" s="37"/>
      <c r="AM84" s="37"/>
      <c r="AN84" s="37"/>
      <c r="AO84" s="37"/>
      <c r="AP84" s="37"/>
      <c r="AQ84" s="37"/>
      <c r="AR84" s="37"/>
      <c r="AS84" s="37"/>
      <c r="AT84" s="37"/>
      <c r="AU84" s="37"/>
    </row>
    <row r="85" spans="2:47" x14ac:dyDescent="0.2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37"/>
      <c r="AS85" s="37"/>
      <c r="AT85" s="37"/>
      <c r="AU85" s="37"/>
    </row>
    <row r="86" spans="2:47" x14ac:dyDescent="0.2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row>
    <row r="87" spans="2:47" x14ac:dyDescent="0.2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row>
    <row r="88" spans="2:47" x14ac:dyDescent="0.2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37"/>
      <c r="AU88" s="37"/>
    </row>
    <row r="89" spans="2:47" x14ac:dyDescent="0.2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c r="AQ89" s="37"/>
      <c r="AR89" s="37"/>
      <c r="AS89" s="37"/>
      <c r="AT89" s="37"/>
      <c r="AU89" s="37"/>
    </row>
    <row r="90" spans="2:47" x14ac:dyDescent="0.2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7"/>
      <c r="AJ90" s="37"/>
      <c r="AK90" s="37"/>
      <c r="AL90" s="37"/>
      <c r="AM90" s="37"/>
      <c r="AN90" s="37"/>
      <c r="AO90" s="37"/>
      <c r="AP90" s="37"/>
      <c r="AQ90" s="37"/>
      <c r="AR90" s="37"/>
      <c r="AS90" s="37"/>
      <c r="AT90" s="37"/>
      <c r="AU90" s="37"/>
    </row>
    <row r="91" spans="2:47" x14ac:dyDescent="0.2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37"/>
      <c r="AS91" s="37"/>
      <c r="AT91" s="37"/>
      <c r="AU91" s="37"/>
    </row>
    <row r="92" spans="2:47" x14ac:dyDescent="0.2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row>
    <row r="93" spans="2:47" x14ac:dyDescent="0.2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row>
    <row r="94" spans="2:47" x14ac:dyDescent="0.2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row>
    <row r="95" spans="2:47" x14ac:dyDescent="0.2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row>
    <row r="96" spans="2:47" x14ac:dyDescent="0.2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row>
  </sheetData>
  <sheetProtection algorithmName="SHA-512" hashValue="r7dF9vETgTwCCWOHlIliMeNL7Rsxr34DIZjxZ+Aibf+IweaOP8/QtVSeetisUqWi+9tHTbjPoybuZhr2OZklrg==" saltValue="55/JT4hU3QVOfQjrVKtX+A==" spinCount="100000" sheet="1" scenarios="1" selectLockedCells="1" pivotTables="0" selectUnlockedCells="1"/>
  <mergeCells count="6">
    <mergeCell ref="J28:J30"/>
    <mergeCell ref="C3:X3"/>
    <mergeCell ref="H24:H26"/>
    <mergeCell ref="J24:J26"/>
    <mergeCell ref="H28:H30"/>
    <mergeCell ref="H23:J23"/>
  </mergeCells>
  <conditionalFormatting pivot="1" sqref="P7:P9">
    <cfRule type="colorScale" priority="3">
      <colorScale>
        <cfvo type="min"/>
        <cfvo type="num" val="0"/>
        <cfvo type="max"/>
        <color rgb="FFF8696B"/>
        <color rgb="FFFFEB84"/>
        <color rgb="FF63BE7B"/>
      </colorScale>
    </cfRule>
  </conditionalFormatting>
  <conditionalFormatting pivot="1" sqref="P7:P9">
    <cfRule type="colorScale" priority="2">
      <colorScale>
        <cfvo type="min"/>
        <cfvo type="num" val="0"/>
        <cfvo type="max"/>
        <color rgb="FFF8696B"/>
        <color rgb="FFFFEB84"/>
        <color rgb="FF63BE7B"/>
      </colorScale>
    </cfRule>
  </conditionalFormatting>
  <conditionalFormatting pivot="1" sqref="V7:V8">
    <cfRule type="colorScale" priority="1">
      <colorScale>
        <cfvo type="min"/>
        <cfvo type="num" val="0"/>
        <cfvo type="max"/>
        <color rgb="FFF8696B"/>
        <color rgb="FFFFEB84"/>
        <color rgb="FF63BE7B"/>
      </colorScale>
    </cfRule>
  </conditionalFormatting>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1846B-824B-4172-AFD1-1DB9DE6DEE31}">
  <sheetPr codeName="Sheet4"/>
  <dimension ref="A2:Q26"/>
  <sheetViews>
    <sheetView workbookViewId="0">
      <selection activeCell="D29" sqref="D29"/>
    </sheetView>
  </sheetViews>
  <sheetFormatPr defaultRowHeight="15" x14ac:dyDescent="0.25"/>
  <cols>
    <col min="2" max="2" width="16.7109375" bestFit="1" customWidth="1"/>
    <col min="3" max="3" width="17.85546875" bestFit="1" customWidth="1"/>
    <col min="4" max="4" width="23.28515625" bestFit="1" customWidth="1"/>
    <col min="5" max="5" width="21.7109375" bestFit="1" customWidth="1"/>
    <col min="6" max="6" width="14.28515625" customWidth="1"/>
    <col min="7" max="7" width="11.28515625" bestFit="1" customWidth="1"/>
    <col min="8" max="8" width="10" bestFit="1" customWidth="1"/>
    <col min="9" max="9" width="11" bestFit="1" customWidth="1"/>
    <col min="10" max="10" width="10" bestFit="1" customWidth="1"/>
    <col min="11" max="11" width="14.28515625" bestFit="1" customWidth="1"/>
    <col min="12" max="12" width="17.85546875" bestFit="1" customWidth="1"/>
    <col min="13" max="13" width="14.28515625" bestFit="1" customWidth="1"/>
    <col min="14" max="14" width="13.42578125" bestFit="1" customWidth="1"/>
    <col min="15" max="15" width="14" bestFit="1" customWidth="1"/>
    <col min="16" max="16" width="15.5703125" bestFit="1" customWidth="1"/>
    <col min="17" max="17" width="4.5703125" bestFit="1" customWidth="1"/>
    <col min="18" max="75" width="17.85546875" bestFit="1" customWidth="1"/>
    <col min="76" max="76" width="21.85546875" bestFit="1" customWidth="1"/>
    <col min="77" max="77" width="22.85546875" bestFit="1" customWidth="1"/>
    <col min="78" max="78" width="21.85546875" bestFit="1" customWidth="1"/>
  </cols>
  <sheetData>
    <row r="2" spans="1:17" x14ac:dyDescent="0.25">
      <c r="B2" t="s">
        <v>0</v>
      </c>
      <c r="C2" t="s">
        <v>3</v>
      </c>
      <c r="D2" t="s">
        <v>1</v>
      </c>
      <c r="G2" s="6" t="s">
        <v>2</v>
      </c>
      <c r="H2" t="s">
        <v>0</v>
      </c>
      <c r="I2" t="s">
        <v>3</v>
      </c>
      <c r="M2" t="s">
        <v>15</v>
      </c>
      <c r="N2" t="s">
        <v>16</v>
      </c>
      <c r="O2" t="s">
        <v>17</v>
      </c>
      <c r="P2" t="s">
        <v>18</v>
      </c>
      <c r="Q2" t="s">
        <v>19</v>
      </c>
    </row>
    <row r="3" spans="1:17" x14ac:dyDescent="0.25">
      <c r="B3" s="4">
        <v>636.1</v>
      </c>
      <c r="C3" s="4">
        <v>453.69999999999993</v>
      </c>
      <c r="D3" s="4">
        <v>182.39999999999995</v>
      </c>
      <c r="G3" s="11">
        <v>45304</v>
      </c>
      <c r="H3" s="63">
        <v>32.5</v>
      </c>
      <c r="I3" s="63">
        <v>28.3</v>
      </c>
      <c r="M3" s="1">
        <v>35.338888888888889</v>
      </c>
      <c r="N3" s="1">
        <v>25.205555555555552</v>
      </c>
      <c r="O3" s="1">
        <v>43.3</v>
      </c>
      <c r="P3" s="1">
        <v>37.9</v>
      </c>
      <c r="Q3" s="63">
        <v>18</v>
      </c>
    </row>
    <row r="4" spans="1:17" x14ac:dyDescent="0.25">
      <c r="G4" s="11">
        <v>45305</v>
      </c>
      <c r="H4" s="63">
        <v>34.9</v>
      </c>
      <c r="I4" s="63">
        <v>37.9</v>
      </c>
    </row>
    <row r="5" spans="1:17" x14ac:dyDescent="0.25">
      <c r="G5" s="11">
        <v>45306</v>
      </c>
      <c r="H5" s="63">
        <v>26.3</v>
      </c>
      <c r="I5" s="63">
        <v>27.4</v>
      </c>
    </row>
    <row r="6" spans="1:17" x14ac:dyDescent="0.25">
      <c r="A6" s="7" t="s">
        <v>22</v>
      </c>
      <c r="B6" t="s">
        <v>10</v>
      </c>
      <c r="C6" t="s">
        <v>11</v>
      </c>
      <c r="D6" t="s">
        <v>20</v>
      </c>
      <c r="E6" t="s">
        <v>21</v>
      </c>
      <c r="G6" s="11">
        <v>45307</v>
      </c>
      <c r="H6" s="63">
        <v>29.3</v>
      </c>
      <c r="I6" s="63">
        <v>25.4</v>
      </c>
    </row>
    <row r="7" spans="1:17" x14ac:dyDescent="0.25">
      <c r="A7">
        <f>SUM(B7:C7)</f>
        <v>1089.8</v>
      </c>
      <c r="B7" s="63">
        <v>636.1</v>
      </c>
      <c r="C7" s="63">
        <v>453.69999999999993</v>
      </c>
      <c r="D7" s="1">
        <v>4.897445164144508</v>
      </c>
      <c r="E7" s="1">
        <v>5.3920866800740326</v>
      </c>
      <c r="G7" s="11">
        <v>45308</v>
      </c>
      <c r="H7" s="63">
        <v>32.9</v>
      </c>
      <c r="I7" s="63">
        <v>19.3</v>
      </c>
    </row>
    <row r="8" spans="1:17" x14ac:dyDescent="0.25">
      <c r="B8" s="7" t="s">
        <v>0</v>
      </c>
      <c r="C8" s="7" t="s">
        <v>3</v>
      </c>
      <c r="D8" s="30" t="s">
        <v>3</v>
      </c>
      <c r="E8" s="30" t="s">
        <v>0</v>
      </c>
      <c r="F8" s="30" t="s">
        <v>1</v>
      </c>
      <c r="G8" s="11">
        <v>45309</v>
      </c>
      <c r="H8" s="63">
        <v>36.4</v>
      </c>
      <c r="I8" s="63">
        <v>20</v>
      </c>
    </row>
    <row r="9" spans="1:17" x14ac:dyDescent="0.25">
      <c r="B9" s="29">
        <f>GETPIVOTDATA("[Measures].[Sum of Producido]",$B$6)/A7</f>
        <v>0.58368507983116169</v>
      </c>
      <c r="C9" s="29">
        <f>GETPIVOTDATA("[Measures].[Sum of Consumido]",$B$6)/A7</f>
        <v>0.41631492016883825</v>
      </c>
      <c r="D9" s="1">
        <f>GETPIVOTDATA("[Measures].[ComsumidoDevStandard]",$B$6)</f>
        <v>4.897445164144508</v>
      </c>
      <c r="E9" s="1">
        <f>GETPIVOTDATA("[Measures].[ProducidoDevStandard]",$B$6)</f>
        <v>5.3920866800740326</v>
      </c>
      <c r="F9" s="1">
        <f>ABS(GETPIVOTDATA("[Measures].[Sum of Producido]",$G$2)-GETPIVOTDATA("[Measures].[Sum of Consumido]",$G$2))/GETPIVOTDATA("[Measures].[dias]",$M$2)</f>
        <v>10.133333333333338</v>
      </c>
      <c r="G9" s="11">
        <v>45310</v>
      </c>
      <c r="H9" s="63">
        <v>32.6</v>
      </c>
      <c r="I9" s="63">
        <v>19.899999999999999</v>
      </c>
    </row>
    <row r="10" spans="1:17" x14ac:dyDescent="0.25">
      <c r="G10" s="11">
        <v>45311</v>
      </c>
      <c r="H10" s="63">
        <v>40.5</v>
      </c>
      <c r="I10" s="63">
        <v>22.6</v>
      </c>
    </row>
    <row r="11" spans="1:17" x14ac:dyDescent="0.25">
      <c r="B11" s="7" t="s">
        <v>23</v>
      </c>
      <c r="C11" s="31">
        <v>1</v>
      </c>
      <c r="G11" s="11">
        <v>45312</v>
      </c>
      <c r="H11" s="63">
        <v>42.1</v>
      </c>
      <c r="I11" s="63">
        <v>24.5</v>
      </c>
    </row>
    <row r="12" spans="1:17" x14ac:dyDescent="0.25">
      <c r="B12" s="7" t="s">
        <v>0</v>
      </c>
      <c r="C12" s="29">
        <f>GETPIVOTDATA("[Measures].[Sum of Producido]",$B$6)/GETPIVOTDATA("[Measures].[Sum of Consumido]",$B$6)</f>
        <v>1.4020277716552791</v>
      </c>
      <c r="G12" s="11">
        <v>45313</v>
      </c>
      <c r="H12" s="63">
        <v>40.700000000000003</v>
      </c>
      <c r="I12" s="63">
        <v>20.2</v>
      </c>
    </row>
    <row r="13" spans="1:17" x14ac:dyDescent="0.25">
      <c r="B13" s="7" t="s">
        <v>24</v>
      </c>
      <c r="C13" s="31">
        <v>0.5</v>
      </c>
      <c r="G13" s="11">
        <v>45314</v>
      </c>
      <c r="H13" s="63">
        <v>43</v>
      </c>
      <c r="I13" s="63">
        <v>19.399999999999999</v>
      </c>
    </row>
    <row r="14" spans="1:17" x14ac:dyDescent="0.25">
      <c r="G14" s="11">
        <v>45315</v>
      </c>
      <c r="H14" s="63">
        <v>26.3</v>
      </c>
      <c r="I14" s="63">
        <v>23.8</v>
      </c>
    </row>
    <row r="15" spans="1:17" x14ac:dyDescent="0.25">
      <c r="G15" s="11">
        <v>45316</v>
      </c>
      <c r="H15" s="63">
        <v>30.9</v>
      </c>
      <c r="I15" s="63">
        <v>30.9</v>
      </c>
    </row>
    <row r="16" spans="1:17" x14ac:dyDescent="0.25">
      <c r="G16" s="11">
        <v>45317</v>
      </c>
      <c r="H16" s="63">
        <v>40.299999999999997</v>
      </c>
      <c r="I16" s="63">
        <v>25.8</v>
      </c>
    </row>
    <row r="17" spans="3:9" x14ac:dyDescent="0.25">
      <c r="G17" s="11">
        <v>45318</v>
      </c>
      <c r="H17" s="63">
        <v>39</v>
      </c>
      <c r="I17" s="63">
        <v>30.9</v>
      </c>
    </row>
    <row r="18" spans="3:9" ht="15.75" thickBot="1" x14ac:dyDescent="0.3">
      <c r="C18" s="7" t="s">
        <v>23</v>
      </c>
      <c r="D18" s="32" t="s">
        <v>0</v>
      </c>
      <c r="E18" s="7" t="s">
        <v>24</v>
      </c>
      <c r="G18" s="11">
        <v>45319</v>
      </c>
      <c r="H18" s="63">
        <v>34</v>
      </c>
      <c r="I18" s="63">
        <v>30.4</v>
      </c>
    </row>
    <row r="19" spans="3:9" ht="15.75" thickBot="1" x14ac:dyDescent="0.3">
      <c r="C19" s="31">
        <v>1</v>
      </c>
      <c r="D19" s="33">
        <f>GETPIVOTDATA("[Measures].[Sum of Producido]",$B$6)/GETPIVOTDATA("[Measures].[Sum of Consumido]",$B$6)</f>
        <v>1.4020277716552791</v>
      </c>
      <c r="E19" s="31">
        <v>0.5</v>
      </c>
      <c r="G19" s="11">
        <v>45320</v>
      </c>
      <c r="H19" s="63">
        <v>43.3</v>
      </c>
      <c r="I19" s="63">
        <v>23.5</v>
      </c>
    </row>
    <row r="20" spans="3:9" x14ac:dyDescent="0.25">
      <c r="G20" s="11">
        <v>45321</v>
      </c>
      <c r="H20" s="63">
        <v>31.1</v>
      </c>
      <c r="I20" s="63">
        <v>23.5</v>
      </c>
    </row>
    <row r="21" spans="3:9" x14ac:dyDescent="0.25">
      <c r="G21" t="s">
        <v>9</v>
      </c>
      <c r="H21" s="63">
        <v>636.1</v>
      </c>
      <c r="I21" s="63">
        <v>453.69999999999993</v>
      </c>
    </row>
    <row r="25" spans="3:9" x14ac:dyDescent="0.25">
      <c r="E25">
        <f>(GETPIVOTDATA("[Measures].[Sum of Producido]",$G$2)-GETPIVOTDATA("[Measures].[Sum of Consumido]",$G$2))/GETPIVOTDATA("[Measures].[dias]",$M$2)</f>
        <v>10.133333333333338</v>
      </c>
    </row>
    <row r="26" spans="3:9" x14ac:dyDescent="0.25">
      <c r="E26" t="str">
        <f>IF(E25-0.001,"-","+")</f>
        <v>-</v>
      </c>
    </row>
  </sheetData>
  <conditionalFormatting sqref="C11:C13">
    <cfRule type="colorScale" priority="3">
      <colorScale>
        <cfvo type="min"/>
        <cfvo type="percentile" val="50"/>
        <cfvo type="max"/>
        <color rgb="FFF8696B"/>
        <color rgb="FFFFEB84"/>
        <color rgb="FF63BE7B"/>
      </colorScale>
    </cfRule>
  </conditionalFormatting>
  <conditionalFormatting sqref="C19:E19">
    <cfRule type="dataBar" priority="1">
      <dataBar>
        <cfvo type="min"/>
        <cfvo type="max"/>
        <color theme="9" tint="-0.249977111117893"/>
      </dataBar>
      <extLst>
        <ext xmlns:x14="http://schemas.microsoft.com/office/spreadsheetml/2009/9/main" uri="{B025F937-C7B1-47D3-B67F-A62EFF666E3E}">
          <x14:id>{7C77BE75-8DD3-4DA0-8676-910638FA0E26}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C77BE75-8DD3-4DA0-8676-910638FA0E26}">
            <x14:dataBar minLength="0" maxLength="100" gradient="0">
              <x14:cfvo type="autoMin"/>
              <x14:cfvo type="autoMax"/>
              <x14:negativeFillColor rgb="FFFF0000"/>
              <x14:axisColor rgb="FF000000"/>
            </x14:dataBar>
          </x14:cfRule>
          <xm:sqref>C19:E19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C53EDA22-5BD2-4CAD-BE07-3FC015D6F714}">
  <ds:schemaRefs/>
</ds:datastoreItem>
</file>

<file path=customXml/itemProps2.xml><?xml version="1.0" encoding="utf-8"?>
<ds:datastoreItem xmlns:ds="http://schemas.openxmlformats.org/officeDocument/2006/customXml" ds:itemID="{B190B0CD-9103-46E3-842D-C49EB1FEE757}">
  <ds:schemaRefs/>
</ds:datastoreItem>
</file>

<file path=customXml/itemProps3.xml><?xml version="1.0" encoding="utf-8"?>
<ds:datastoreItem xmlns:ds="http://schemas.openxmlformats.org/officeDocument/2006/customXml" ds:itemID="{D605952D-784F-4AD1-B322-6BD0C31F5ED2}">
  <ds:schemaRefs/>
</ds:datastoreItem>
</file>

<file path=customXml/itemProps4.xml><?xml version="1.0" encoding="utf-8"?>
<ds:datastoreItem xmlns:ds="http://schemas.openxmlformats.org/officeDocument/2006/customXml" ds:itemID="{907046E7-FCC5-4056-B846-050D3135DD09}">
  <ds:schemaRefs/>
</ds:datastoreItem>
</file>

<file path=customXml/itemProps5.xml><?xml version="1.0" encoding="utf-8"?>
<ds:datastoreItem xmlns:ds="http://schemas.openxmlformats.org/officeDocument/2006/customXml" ds:itemID="{8B4EDEDD-0343-4721-872C-98D5D14BCD2C}">
  <ds:schemaRefs/>
</ds:datastoreItem>
</file>

<file path=customXml/itemProps6.xml><?xml version="1.0" encoding="utf-8"?>
<ds:datastoreItem xmlns:ds="http://schemas.openxmlformats.org/officeDocument/2006/customXml" ds:itemID="{8EC8CA0E-3051-4DE1-BBD6-C049943FB786}">
  <ds:schemaRefs/>
</ds:datastoreItem>
</file>

<file path=customXml/itemProps7.xml><?xml version="1.0" encoding="utf-8"?>
<ds:datastoreItem xmlns:ds="http://schemas.openxmlformats.org/officeDocument/2006/customXml" ds:itemID="{93F23CED-A2F3-4DA5-96D6-4E9167E57AD5}">
  <ds:schemaRefs/>
</ds:datastoreItem>
</file>

<file path=customXml/itemProps8.xml><?xml version="1.0" encoding="utf-8"?>
<ds:datastoreItem xmlns:ds="http://schemas.openxmlformats.org/officeDocument/2006/customXml" ds:itemID="{C51B388D-639B-407E-A62D-5E485D5B2A5D}">
  <ds:schemaRefs/>
</ds:datastoreItem>
</file>

<file path=customXml/itemProps9.xml><?xml version="1.0" encoding="utf-8"?>
<ds:datastoreItem xmlns:ds="http://schemas.openxmlformats.org/officeDocument/2006/customXml" ds:itemID="{F0EA30CD-8C8A-469A-8B02-162964789F3A}">
  <ds:schemaRefs/>
</ds:datastoreItem>
</file>

<file path=customXml/itemProps10.xml><?xml version="1.0" encoding="utf-8"?>
<ds:datastoreItem xmlns:ds="http://schemas.openxmlformats.org/officeDocument/2006/customXml" ds:itemID="{92806C1D-27B7-4D29-9BA7-92F83CB542CE}">
  <ds:schemaRefs/>
</ds:datastoreItem>
</file>

<file path=customXml/itemProps11.xml><?xml version="1.0" encoding="utf-8"?>
<ds:datastoreItem xmlns:ds="http://schemas.openxmlformats.org/officeDocument/2006/customXml" ds:itemID="{0E452325-B3D3-4AAC-9E64-50FE346B5984}">
  <ds:schemaRefs/>
</ds:datastoreItem>
</file>

<file path=customXml/itemProps12.xml><?xml version="1.0" encoding="utf-8"?>
<ds:datastoreItem xmlns:ds="http://schemas.openxmlformats.org/officeDocument/2006/customXml" ds:itemID="{847725EC-DE9F-4E4F-BFD4-50332CFD3D37}">
  <ds:schemaRefs/>
</ds:datastoreItem>
</file>

<file path=customXml/itemProps13.xml><?xml version="1.0" encoding="utf-8"?>
<ds:datastoreItem xmlns:ds="http://schemas.openxmlformats.org/officeDocument/2006/customXml" ds:itemID="{A1261AAC-9241-43CA-B112-D4E6D72B6F4F}">
  <ds:schemaRefs/>
</ds:datastoreItem>
</file>

<file path=customXml/itemProps14.xml><?xml version="1.0" encoding="utf-8"?>
<ds:datastoreItem xmlns:ds="http://schemas.openxmlformats.org/officeDocument/2006/customXml" ds:itemID="{FA467921-5595-48E6-AFA3-A02B073C1C48}">
  <ds:schemaRefs/>
</ds:datastoreItem>
</file>

<file path=customXml/itemProps15.xml><?xml version="1.0" encoding="utf-8"?>
<ds:datastoreItem xmlns:ds="http://schemas.openxmlformats.org/officeDocument/2006/customXml" ds:itemID="{F28A4CA4-6B34-412F-A398-A99C5166B7B6}">
  <ds:schemaRefs/>
</ds:datastoreItem>
</file>

<file path=customXml/itemProps16.xml><?xml version="1.0" encoding="utf-8"?>
<ds:datastoreItem xmlns:ds="http://schemas.openxmlformats.org/officeDocument/2006/customXml" ds:itemID="{21C038D5-2CA2-43E6-A89D-FD68554808F8}">
  <ds:schemaRefs/>
</ds:datastoreItem>
</file>

<file path=customXml/itemProps17.xml><?xml version="1.0" encoding="utf-8"?>
<ds:datastoreItem xmlns:ds="http://schemas.openxmlformats.org/officeDocument/2006/customXml" ds:itemID="{C2AB5400-1B8C-45D6-A5D8-C7F70144C287}">
  <ds:schemaRefs/>
</ds:datastoreItem>
</file>

<file path=customXml/itemProps18.xml><?xml version="1.0" encoding="utf-8"?>
<ds:datastoreItem xmlns:ds="http://schemas.openxmlformats.org/officeDocument/2006/customXml" ds:itemID="{50654762-866D-43B1-9353-E97F69E1D3FD}">
  <ds:schemaRefs/>
</ds:datastoreItem>
</file>

<file path=customXml/itemProps19.xml><?xml version="1.0" encoding="utf-8"?>
<ds:datastoreItem xmlns:ds="http://schemas.openxmlformats.org/officeDocument/2006/customXml" ds:itemID="{4CF810FC-92CB-4E35-8C2F-61DED4EC44EE}">
  <ds:schemaRefs/>
</ds:datastoreItem>
</file>

<file path=customXml/itemProps20.xml><?xml version="1.0" encoding="utf-8"?>
<ds:datastoreItem xmlns:ds="http://schemas.openxmlformats.org/officeDocument/2006/customXml" ds:itemID="{8D0CDF57-88E4-401B-A234-F3A24220132F}">
  <ds:schemaRefs/>
</ds:datastoreItem>
</file>

<file path=customXml/itemProps21.xml><?xml version="1.0" encoding="utf-8"?>
<ds:datastoreItem xmlns:ds="http://schemas.openxmlformats.org/officeDocument/2006/customXml" ds:itemID="{3B6552D3-02D0-49B9-B743-9E7C90061033}">
  <ds:schemaRefs/>
</ds:datastoreItem>
</file>

<file path=customXml/itemProps22.xml><?xml version="1.0" encoding="utf-8"?>
<ds:datastoreItem xmlns:ds="http://schemas.openxmlformats.org/officeDocument/2006/customXml" ds:itemID="{47ABB473-FE64-4433-9595-BD01A6AE7AE9}">
  <ds:schemaRefs/>
</ds:datastoreItem>
</file>

<file path=customXml/itemProps23.xml><?xml version="1.0" encoding="utf-8"?>
<ds:datastoreItem xmlns:ds="http://schemas.openxmlformats.org/officeDocument/2006/customXml" ds:itemID="{1DE5DE01-7AAE-42BA-9E97-80CB9F2E27D9}">
  <ds:schemaRefs/>
</ds:datastoreItem>
</file>

<file path=customXml/itemProps24.xml><?xml version="1.0" encoding="utf-8"?>
<ds:datastoreItem xmlns:ds="http://schemas.openxmlformats.org/officeDocument/2006/customXml" ds:itemID="{5D5C5149-B4D5-47DA-AE36-C554F3C246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HECTOR LORENZO</dc:creator>
  <cp:lastModifiedBy>HECTOR LORENZO</cp:lastModifiedBy>
  <dcterms:created xsi:type="dcterms:W3CDTF">2023-10-15T00:08:47Z</dcterms:created>
  <dcterms:modified xsi:type="dcterms:W3CDTF">2024-01-31T10:43:55Z</dcterms:modified>
</cp:coreProperties>
</file>